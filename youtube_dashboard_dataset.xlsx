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Monthly_Trend" sheetId="2" state="visible" r:id="rId4"/>
    <sheet name="Daily_Metrics" sheetId="3" state="visible" r:id="rId5"/>
    <sheet name="Videos" sheetId="4" state="visible" r:id="rId6"/>
    <sheet name="Traffic_Sources" sheetId="5" state="visible" r:id="rId7"/>
    <sheet name="Demographics" sheetId="6" state="visible" r:id="rId8"/>
    <sheet name="Countries" sheetId="7" state="visible" r:id="rId9"/>
    <sheet name="Devices" sheetId="8" state="visible" r:id="rId10"/>
    <sheet name="Audience_Retention" sheetId="9" state="visible" r:id="rId11"/>
    <sheet name="Realtime_48h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<sst xmlns="http://schemas.openxmlformats.org/spreadsheetml/2006/main" count="663" uniqueCount="557">
  <si>
    <t xml:space="preserve">KPI</t>
  </si>
  <si>
    <t xml:space="preserve">Value</t>
  </si>
  <si>
    <t xml:space="preserve">Total Views</t>
  </si>
  <si>
    <t xml:space="preserve">Watch Time (Hours)</t>
  </si>
  <si>
    <t xml:space="preserve">Net Subscribers</t>
  </si>
  <si>
    <t xml:space="preserve">Estimated Revenue (USD)</t>
  </si>
  <si>
    <t xml:space="preserve">Videos Published</t>
  </si>
  <si>
    <t xml:space="preserve">RPM (USD per 1000 views)</t>
  </si>
  <si>
    <t xml:space="preserve">Avg View Duration (min)</t>
  </si>
  <si>
    <t xml:space="preserve">Note: synthetic sample data for practice; totals are scaled to match the KPI cards in the reference dashboard (Jan 1 - Dec 31, 2024).</t>
  </si>
  <si>
    <t xml:space="preserve">month</t>
  </si>
  <si>
    <t xml:space="preserve">month_start</t>
  </si>
  <si>
    <t xml:space="preserve">month_end</t>
  </si>
  <si>
    <t xml:space="preserve">views</t>
  </si>
  <si>
    <t xml:space="preserve">watch_time_hours</t>
  </si>
  <si>
    <t xml:space="preserve">net_subscribers</t>
  </si>
  <si>
    <t xml:space="preserve">cumulative_subscribers</t>
  </si>
  <si>
    <t xml:space="preserve">estimated_revenue_usd</t>
  </si>
  <si>
    <t xml:space="preserve">videos_published</t>
  </si>
  <si>
    <t xml:space="preserve">date</t>
  </si>
  <si>
    <t xml:space="preserve">subscribers_gained</t>
  </si>
  <si>
    <t xml:space="preserve">subscribers_lost</t>
  </si>
  <si>
    <t xml:space="preserve">video_id</t>
  </si>
  <si>
    <t xml:space="preserve">title</t>
  </si>
  <si>
    <t xml:space="preserve">publish_date</t>
  </si>
  <si>
    <t xml:space="preserve">avg_view_duration</t>
  </si>
  <si>
    <t xml:space="preserve">likes</t>
  </si>
  <si>
    <t xml:space="preserve">comments</t>
  </si>
  <si>
    <t xml:space="preserve">revenue_usd</t>
  </si>
  <si>
    <t xml:space="preserve">VID001</t>
  </si>
  <si>
    <t xml:space="preserve">How to Use ChatGPT for Data Analysis</t>
  </si>
  <si>
    <t xml:space="preserve">8:42</t>
  </si>
  <si>
    <t xml:space="preserve">VID002</t>
  </si>
  <si>
    <t xml:space="preserve">Complete SQL Course in 1 Hour</t>
  </si>
  <si>
    <t xml:space="preserve">7:56</t>
  </si>
  <si>
    <t xml:space="preserve">VID003</t>
  </si>
  <si>
    <t xml:space="preserve">Data Analyst Roadmap 2025</t>
  </si>
  <si>
    <t xml:space="preserve">7:21</t>
  </si>
  <si>
    <t xml:space="preserve">VID004</t>
  </si>
  <si>
    <t xml:space="preserve">Top 10 AI Tools for Productivity</t>
  </si>
  <si>
    <t xml:space="preserve">6:49</t>
  </si>
  <si>
    <t xml:space="preserve">VID005</t>
  </si>
  <si>
    <t xml:space="preserve">How I Got My First Data Analyst Job</t>
  </si>
  <si>
    <t xml:space="preserve">6:15</t>
  </si>
  <si>
    <t xml:space="preserve">VID006</t>
  </si>
  <si>
    <t xml:space="preserve">Career Roadmap #5</t>
  </si>
  <si>
    <t xml:space="preserve">4:43</t>
  </si>
  <si>
    <t xml:space="preserve">VID007</t>
  </si>
  <si>
    <t xml:space="preserve">Dashboard Beginner Guide #6</t>
  </si>
  <si>
    <t xml:space="preserve">5:28</t>
  </si>
  <si>
    <t xml:space="preserve">VID008</t>
  </si>
  <si>
    <t xml:space="preserve">Projects Project Walkthrough #7</t>
  </si>
  <si>
    <t xml:space="preserve">VID009</t>
  </si>
  <si>
    <t xml:space="preserve">Power BI Project Walkthrough #8</t>
  </si>
  <si>
    <t xml:space="preserve">5:14</t>
  </si>
  <si>
    <t xml:space="preserve">VID010</t>
  </si>
  <si>
    <t xml:space="preserve">Tableau Tutorial #9</t>
  </si>
  <si>
    <t xml:space="preserve">6:37</t>
  </si>
  <si>
    <t xml:space="preserve">VID011</t>
  </si>
  <si>
    <t xml:space="preserve">Power BI Project Walkthrough #10</t>
  </si>
  <si>
    <t xml:space="preserve">6:12</t>
  </si>
  <si>
    <t xml:space="preserve">VID012</t>
  </si>
  <si>
    <t xml:space="preserve">Statistics Project Walkthrough #11</t>
  </si>
  <si>
    <t xml:space="preserve">3:34</t>
  </si>
  <si>
    <t xml:space="preserve">VID013</t>
  </si>
  <si>
    <t xml:space="preserve">Data Analyst Tutorial #12</t>
  </si>
  <si>
    <t xml:space="preserve">4:54</t>
  </si>
  <si>
    <t xml:space="preserve">VID014</t>
  </si>
  <si>
    <t xml:space="preserve">Dashboard Tutorial #13</t>
  </si>
  <si>
    <t xml:space="preserve">5:52</t>
  </si>
  <si>
    <t xml:space="preserve">VID015</t>
  </si>
  <si>
    <t xml:space="preserve">AI Tools Beginner Guide #14</t>
  </si>
  <si>
    <t xml:space="preserve">6:54</t>
  </si>
  <si>
    <t xml:space="preserve">VID016</t>
  </si>
  <si>
    <t xml:space="preserve">Statistics Tips &amp; Tricks #15</t>
  </si>
  <si>
    <t xml:space="preserve">5:00</t>
  </si>
  <si>
    <t xml:space="preserve">VID017</t>
  </si>
  <si>
    <t xml:space="preserve">SQL Tips &amp; Tricks #16</t>
  </si>
  <si>
    <t xml:space="preserve">3:42</t>
  </si>
  <si>
    <t xml:space="preserve">VID018</t>
  </si>
  <si>
    <t xml:space="preserve">AI Tools Full Course #17</t>
  </si>
  <si>
    <t xml:space="preserve">5:22</t>
  </si>
  <si>
    <t xml:space="preserve">VID019</t>
  </si>
  <si>
    <t xml:space="preserve">Projects Full Course #18</t>
  </si>
  <si>
    <t xml:space="preserve">3:49</t>
  </si>
  <si>
    <t xml:space="preserve">VID020</t>
  </si>
  <si>
    <t xml:space="preserve">Excel Full Course #19</t>
  </si>
  <si>
    <t xml:space="preserve">6:03</t>
  </si>
  <si>
    <t xml:space="preserve">VID021</t>
  </si>
  <si>
    <t xml:space="preserve">Pandas Project Walkthrough #20</t>
  </si>
  <si>
    <t xml:space="preserve">5:11</t>
  </si>
  <si>
    <t xml:space="preserve">VID022</t>
  </si>
  <si>
    <t xml:space="preserve">Tableau Mistakes to Avoid #21</t>
  </si>
  <si>
    <t xml:space="preserve">5:57</t>
  </si>
  <si>
    <t xml:space="preserve">VID023</t>
  </si>
  <si>
    <t xml:space="preserve">Dashboard Project Walkthrough #22</t>
  </si>
  <si>
    <t xml:space="preserve">6:28</t>
  </si>
  <si>
    <t xml:space="preserve">VID024</t>
  </si>
  <si>
    <t xml:space="preserve">Career Tutorial #23</t>
  </si>
  <si>
    <t xml:space="preserve">5:37</t>
  </si>
  <si>
    <t xml:space="preserve">VID025</t>
  </si>
  <si>
    <t xml:space="preserve">Python Project Walkthrough #24</t>
  </si>
  <si>
    <t xml:space="preserve">5:33</t>
  </si>
  <si>
    <t xml:space="preserve">VID026</t>
  </si>
  <si>
    <t xml:space="preserve">Power BI Roadmap #25</t>
  </si>
  <si>
    <t xml:space="preserve">6:04</t>
  </si>
  <si>
    <t xml:space="preserve">VID027</t>
  </si>
  <si>
    <t xml:space="preserve">Power BI Beginner Guide #26</t>
  </si>
  <si>
    <t xml:space="preserve">6:23</t>
  </si>
  <si>
    <t xml:space="preserve">VID028</t>
  </si>
  <si>
    <t xml:space="preserve">Power BI Tutorial #27</t>
  </si>
  <si>
    <t xml:space="preserve">VID029</t>
  </si>
  <si>
    <t xml:space="preserve">Interview Full Course #28</t>
  </si>
  <si>
    <t xml:space="preserve">3:29</t>
  </si>
  <si>
    <t xml:space="preserve">VID030</t>
  </si>
  <si>
    <t xml:space="preserve">Tableau Tips &amp; Tricks #29</t>
  </si>
  <si>
    <t xml:space="preserve">5:21</t>
  </si>
  <si>
    <t xml:space="preserve">VID031</t>
  </si>
  <si>
    <t xml:space="preserve">Python Beginner Guide #30</t>
  </si>
  <si>
    <t xml:space="preserve">4:08</t>
  </si>
  <si>
    <t xml:space="preserve">VID032</t>
  </si>
  <si>
    <t xml:space="preserve">Dashboard Full Course #31</t>
  </si>
  <si>
    <t xml:space="preserve">6:27</t>
  </si>
  <si>
    <t xml:space="preserve">VID033</t>
  </si>
  <si>
    <t xml:space="preserve">Dashboard Mistakes to Avoid #32</t>
  </si>
  <si>
    <t xml:space="preserve">5:41</t>
  </si>
  <si>
    <t xml:space="preserve">VID034</t>
  </si>
  <si>
    <t xml:space="preserve">Career Project Walkthrough #33</t>
  </si>
  <si>
    <t xml:space="preserve">4:52</t>
  </si>
  <si>
    <t xml:space="preserve">VID035</t>
  </si>
  <si>
    <t xml:space="preserve">Statistics Roadmap #34</t>
  </si>
  <si>
    <t xml:space="preserve">4:02</t>
  </si>
  <si>
    <t xml:space="preserve">VID036</t>
  </si>
  <si>
    <t xml:space="preserve">ChatGPT Project Walkthrough #35</t>
  </si>
  <si>
    <t xml:space="preserve">4:34</t>
  </si>
  <si>
    <t xml:space="preserve">VID037</t>
  </si>
  <si>
    <t xml:space="preserve">AI Tools Mistakes to Avoid #36</t>
  </si>
  <si>
    <t xml:space="preserve">5:53</t>
  </si>
  <si>
    <t xml:space="preserve">VID038</t>
  </si>
  <si>
    <t xml:space="preserve">Power BI Roadmap #37</t>
  </si>
  <si>
    <t xml:space="preserve">4:06</t>
  </si>
  <si>
    <t xml:space="preserve">VID039</t>
  </si>
  <si>
    <t xml:space="preserve">Pandas Full Course #38</t>
  </si>
  <si>
    <t xml:space="preserve">VID040</t>
  </si>
  <si>
    <t xml:space="preserve">Statistics Beginner Guide #39</t>
  </si>
  <si>
    <t xml:space="preserve">6:32</t>
  </si>
  <si>
    <t xml:space="preserve">VID041</t>
  </si>
  <si>
    <t xml:space="preserve">AI Tools Tutorial #40</t>
  </si>
  <si>
    <t xml:space="preserve">6:06</t>
  </si>
  <si>
    <t xml:space="preserve">VID042</t>
  </si>
  <si>
    <t xml:space="preserve">Interview Project Walkthrough #41</t>
  </si>
  <si>
    <t xml:space="preserve">4:05</t>
  </si>
  <si>
    <t xml:space="preserve">VID043</t>
  </si>
  <si>
    <t xml:space="preserve">Interview Beginner Guide #42</t>
  </si>
  <si>
    <t xml:space="preserve">4:24</t>
  </si>
  <si>
    <t xml:space="preserve">VID044</t>
  </si>
  <si>
    <t xml:space="preserve">Tableau Project Walkthrough #43</t>
  </si>
  <si>
    <t xml:space="preserve">6:51</t>
  </si>
  <si>
    <t xml:space="preserve">VID045</t>
  </si>
  <si>
    <t xml:space="preserve">Dashboard Beginner Guide #44</t>
  </si>
  <si>
    <t xml:space="preserve">5:54</t>
  </si>
  <si>
    <t xml:space="preserve">VID046</t>
  </si>
  <si>
    <t xml:space="preserve">Pandas Tips &amp; Tricks #45</t>
  </si>
  <si>
    <t xml:space="preserve">VID047</t>
  </si>
  <si>
    <t xml:space="preserve">Statistics Tutorial #46</t>
  </si>
  <si>
    <t xml:space="preserve">4:28</t>
  </si>
  <si>
    <t xml:space="preserve">VID048</t>
  </si>
  <si>
    <t xml:space="preserve">Data Analyst Project Walkthrough #47</t>
  </si>
  <si>
    <t xml:space="preserve">4:26</t>
  </si>
  <si>
    <t xml:space="preserve">VID049</t>
  </si>
  <si>
    <t xml:space="preserve">Excel Roadmap #48</t>
  </si>
  <si>
    <t xml:space="preserve">3:30</t>
  </si>
  <si>
    <t xml:space="preserve">VID050</t>
  </si>
  <si>
    <t xml:space="preserve">Interview Project Walkthrough #49</t>
  </si>
  <si>
    <t xml:space="preserve">5:58</t>
  </si>
  <si>
    <t xml:space="preserve">VID051</t>
  </si>
  <si>
    <t xml:space="preserve">Power BI Tips &amp; Tricks #50</t>
  </si>
  <si>
    <t xml:space="preserve">3:31</t>
  </si>
  <si>
    <t xml:space="preserve">VID052</t>
  </si>
  <si>
    <t xml:space="preserve">Python Mistakes to Avoid #51</t>
  </si>
  <si>
    <t xml:space="preserve">3:23</t>
  </si>
  <si>
    <t xml:space="preserve">VID053</t>
  </si>
  <si>
    <t xml:space="preserve">Tableau Project Walkthrough #52</t>
  </si>
  <si>
    <t xml:space="preserve">VID054</t>
  </si>
  <si>
    <t xml:space="preserve">Pandas Beginner Guide #53</t>
  </si>
  <si>
    <t xml:space="preserve">6:46</t>
  </si>
  <si>
    <t xml:space="preserve">VID055</t>
  </si>
  <si>
    <t xml:space="preserve">SQL Q&amp;A #54</t>
  </si>
  <si>
    <t xml:space="preserve">VID056</t>
  </si>
  <si>
    <t xml:space="preserve">SQL Tutorial #55</t>
  </si>
  <si>
    <t xml:space="preserve">5:03</t>
  </si>
  <si>
    <t xml:space="preserve">VID057</t>
  </si>
  <si>
    <t xml:space="preserve">Excel Full Course #56</t>
  </si>
  <si>
    <t xml:space="preserve">5:06</t>
  </si>
  <si>
    <t xml:space="preserve">VID058</t>
  </si>
  <si>
    <t xml:space="preserve">Projects Full Course #57</t>
  </si>
  <si>
    <t xml:space="preserve">4:55</t>
  </si>
  <si>
    <t xml:space="preserve">VID059</t>
  </si>
  <si>
    <t xml:space="preserve">Dashboard Roadmap #58</t>
  </si>
  <si>
    <t xml:space="preserve">4:31</t>
  </si>
  <si>
    <t xml:space="preserve">VID060</t>
  </si>
  <si>
    <t xml:space="preserve">Excel Roadmap #59</t>
  </si>
  <si>
    <t xml:space="preserve">VID061</t>
  </si>
  <si>
    <t xml:space="preserve">Excel Roadmap #60</t>
  </si>
  <si>
    <t xml:space="preserve">VID062</t>
  </si>
  <si>
    <t xml:space="preserve">Career Project Walkthrough #61</t>
  </si>
  <si>
    <t xml:space="preserve">5:30</t>
  </si>
  <si>
    <t xml:space="preserve">VID063</t>
  </si>
  <si>
    <t xml:space="preserve">Python Beginner Guide #62</t>
  </si>
  <si>
    <t xml:space="preserve">6:35</t>
  </si>
  <si>
    <t xml:space="preserve">VID064</t>
  </si>
  <si>
    <t xml:space="preserve">Interview Tips &amp; Tricks #63</t>
  </si>
  <si>
    <t xml:space="preserve">6:55</t>
  </si>
  <si>
    <t xml:space="preserve">VID065</t>
  </si>
  <si>
    <t xml:space="preserve">Data Analyst Tutorial #64</t>
  </si>
  <si>
    <t xml:space="preserve">3:38</t>
  </si>
  <si>
    <t xml:space="preserve">VID066</t>
  </si>
  <si>
    <t xml:space="preserve">Projects Beginner Guide #65</t>
  </si>
  <si>
    <t xml:space="preserve">4:44</t>
  </si>
  <si>
    <t xml:space="preserve">VID067</t>
  </si>
  <si>
    <t xml:space="preserve">Tableau Mistakes to Avoid #66</t>
  </si>
  <si>
    <t xml:space="preserve">4:00</t>
  </si>
  <si>
    <t xml:space="preserve">VID068</t>
  </si>
  <si>
    <t xml:space="preserve">Dashboard Project Walkthrough #67</t>
  </si>
  <si>
    <t xml:space="preserve">4:37</t>
  </si>
  <si>
    <t xml:space="preserve">VID069</t>
  </si>
  <si>
    <t xml:space="preserve">Excel Q&amp;A #68</t>
  </si>
  <si>
    <t xml:space="preserve">4:23</t>
  </si>
  <si>
    <t xml:space="preserve">VID070</t>
  </si>
  <si>
    <t xml:space="preserve">Statistics Q&amp;A #69</t>
  </si>
  <si>
    <t xml:space="preserve">3:59</t>
  </si>
  <si>
    <t xml:space="preserve">VID071</t>
  </si>
  <si>
    <t xml:space="preserve">Statistics Q&amp;A #70</t>
  </si>
  <si>
    <t xml:space="preserve">VID072</t>
  </si>
  <si>
    <t xml:space="preserve">Pandas Tutorial #71</t>
  </si>
  <si>
    <t xml:space="preserve">5:08</t>
  </si>
  <si>
    <t xml:space="preserve">VID073</t>
  </si>
  <si>
    <t xml:space="preserve">Data Analyst Full Course #72</t>
  </si>
  <si>
    <t xml:space="preserve">6:39</t>
  </si>
  <si>
    <t xml:space="preserve">VID074</t>
  </si>
  <si>
    <t xml:space="preserve">Python Beginner Guide #73</t>
  </si>
  <si>
    <t xml:space="preserve">VID075</t>
  </si>
  <si>
    <t xml:space="preserve">AI Tools Project Walkthrough #74</t>
  </si>
  <si>
    <t xml:space="preserve">3:36</t>
  </si>
  <si>
    <t xml:space="preserve">VID076</t>
  </si>
  <si>
    <t xml:space="preserve">Pandas Full Course #75</t>
  </si>
  <si>
    <t xml:space="preserve">4:48</t>
  </si>
  <si>
    <t xml:space="preserve">VID077</t>
  </si>
  <si>
    <t xml:space="preserve">Python Beginner Guide #76</t>
  </si>
  <si>
    <t xml:space="preserve">3:39</t>
  </si>
  <si>
    <t xml:space="preserve">VID078</t>
  </si>
  <si>
    <t xml:space="preserve">Data Analyst Project Walkthrough #77</t>
  </si>
  <si>
    <t xml:space="preserve">4:18</t>
  </si>
  <si>
    <t xml:space="preserve">VID079</t>
  </si>
  <si>
    <t xml:space="preserve">Data Analyst Full Course #78</t>
  </si>
  <si>
    <t xml:space="preserve">VID080</t>
  </si>
  <si>
    <t xml:space="preserve">AI Tools Beginner Guide #79</t>
  </si>
  <si>
    <t xml:space="preserve">4:07</t>
  </si>
  <si>
    <t xml:space="preserve">VID081</t>
  </si>
  <si>
    <t xml:space="preserve">Dashboard Tips &amp; Tricks #80</t>
  </si>
  <si>
    <t xml:space="preserve">4:04</t>
  </si>
  <si>
    <t xml:space="preserve">VID082</t>
  </si>
  <si>
    <t xml:space="preserve">Dashboard Q&amp;A #81</t>
  </si>
  <si>
    <t xml:space="preserve">5:25</t>
  </si>
  <si>
    <t xml:space="preserve">VID083</t>
  </si>
  <si>
    <t xml:space="preserve">Dashboard Roadmap #82</t>
  </si>
  <si>
    <t xml:space="preserve">5:09</t>
  </si>
  <si>
    <t xml:space="preserve">VID084</t>
  </si>
  <si>
    <t xml:space="preserve">Python Project Walkthrough #83</t>
  </si>
  <si>
    <t xml:space="preserve">5:26</t>
  </si>
  <si>
    <t xml:space="preserve">VID085</t>
  </si>
  <si>
    <t xml:space="preserve">ChatGPT Project Walkthrough #84</t>
  </si>
  <si>
    <t xml:space="preserve">VID086</t>
  </si>
  <si>
    <t xml:space="preserve">Excel Full Course #85</t>
  </si>
  <si>
    <t xml:space="preserve">6:19</t>
  </si>
  <si>
    <t xml:space="preserve">VID087</t>
  </si>
  <si>
    <t xml:space="preserve">AI Tools Roadmap #86</t>
  </si>
  <si>
    <t xml:space="preserve">3:51</t>
  </si>
  <si>
    <t xml:space="preserve">VID088</t>
  </si>
  <si>
    <t xml:space="preserve">Data Analyst Project Walkthrough #87</t>
  </si>
  <si>
    <t xml:space="preserve">VID089</t>
  </si>
  <si>
    <t xml:space="preserve">Data Analyst Beginner Guide #88</t>
  </si>
  <si>
    <t xml:space="preserve">5:50</t>
  </si>
  <si>
    <t xml:space="preserve">VID090</t>
  </si>
  <si>
    <t xml:space="preserve">Python Beginner Guide #89</t>
  </si>
  <si>
    <t xml:space="preserve">VID091</t>
  </si>
  <si>
    <t xml:space="preserve">SQL Tips &amp; Tricks #90</t>
  </si>
  <si>
    <t xml:space="preserve">4:41</t>
  </si>
  <si>
    <t xml:space="preserve">VID092</t>
  </si>
  <si>
    <t xml:space="preserve">Interview Q&amp;A #91</t>
  </si>
  <si>
    <t xml:space="preserve">5:24</t>
  </si>
  <si>
    <t xml:space="preserve">VID093</t>
  </si>
  <si>
    <t xml:space="preserve">Python Project Walkthrough #92</t>
  </si>
  <si>
    <t xml:space="preserve">VID094</t>
  </si>
  <si>
    <t xml:space="preserve">Excel Tutorial #93</t>
  </si>
  <si>
    <t xml:space="preserve">3:58</t>
  </si>
  <si>
    <t xml:space="preserve">VID095</t>
  </si>
  <si>
    <t xml:space="preserve">Pandas Mistakes to Avoid #94</t>
  </si>
  <si>
    <t xml:space="preserve">VID096</t>
  </si>
  <si>
    <t xml:space="preserve">ChatGPT Project Walkthrough #95</t>
  </si>
  <si>
    <t xml:space="preserve">VID097</t>
  </si>
  <si>
    <t xml:space="preserve">ChatGPT Tips &amp; Tricks #96</t>
  </si>
  <si>
    <t xml:space="preserve">VID098</t>
  </si>
  <si>
    <t xml:space="preserve">Data Analyst Tips &amp; Tricks #97</t>
  </si>
  <si>
    <t xml:space="preserve">VID099</t>
  </si>
  <si>
    <t xml:space="preserve">AI Tools Roadmap #98</t>
  </si>
  <si>
    <t xml:space="preserve">VID100</t>
  </si>
  <si>
    <t xml:space="preserve">Tableau Project Walkthrough #99</t>
  </si>
  <si>
    <t xml:space="preserve">VID101</t>
  </si>
  <si>
    <t xml:space="preserve">Pandas Tips &amp; Tricks #100</t>
  </si>
  <si>
    <t xml:space="preserve">6:21</t>
  </si>
  <si>
    <t xml:space="preserve">VID102</t>
  </si>
  <si>
    <t xml:space="preserve">Statistics Roadmap #101</t>
  </si>
  <si>
    <t xml:space="preserve">3:41</t>
  </si>
  <si>
    <t xml:space="preserve">VID103</t>
  </si>
  <si>
    <t xml:space="preserve">Dashboard Q&amp;A #102</t>
  </si>
  <si>
    <t xml:space="preserve">3:27</t>
  </si>
  <si>
    <t xml:space="preserve">VID104</t>
  </si>
  <si>
    <t xml:space="preserve">Data Analyst Full Course #103</t>
  </si>
  <si>
    <t xml:space="preserve">VID105</t>
  </si>
  <si>
    <t xml:space="preserve">Pandas Tutorial #104</t>
  </si>
  <si>
    <t xml:space="preserve">6:25</t>
  </si>
  <si>
    <t xml:space="preserve">VID106</t>
  </si>
  <si>
    <t xml:space="preserve">Data Analyst Q&amp;A #105</t>
  </si>
  <si>
    <t xml:space="preserve">4:12</t>
  </si>
  <si>
    <t xml:space="preserve">VID107</t>
  </si>
  <si>
    <t xml:space="preserve">ChatGPT Mistakes to Avoid #106</t>
  </si>
  <si>
    <t xml:space="preserve">5:19</t>
  </si>
  <si>
    <t xml:space="preserve">VID108</t>
  </si>
  <si>
    <t xml:space="preserve">Career Full Course #107</t>
  </si>
  <si>
    <t xml:space="preserve">4:53</t>
  </si>
  <si>
    <t xml:space="preserve">VID109</t>
  </si>
  <si>
    <t xml:space="preserve">Tableau Project Walkthrough #108</t>
  </si>
  <si>
    <t xml:space="preserve">6:13</t>
  </si>
  <si>
    <t xml:space="preserve">VID110</t>
  </si>
  <si>
    <t xml:space="preserve">Power BI Roadmap #109</t>
  </si>
  <si>
    <t xml:space="preserve">5:07</t>
  </si>
  <si>
    <t xml:space="preserve">VID111</t>
  </si>
  <si>
    <t xml:space="preserve">ChatGPT Beginner Guide #110</t>
  </si>
  <si>
    <t xml:space="preserve">VID112</t>
  </si>
  <si>
    <t xml:space="preserve">Power BI Beginner Guide #111</t>
  </si>
  <si>
    <t xml:space="preserve">VID113</t>
  </si>
  <si>
    <t xml:space="preserve">ChatGPT Mistakes to Avoid #112</t>
  </si>
  <si>
    <t xml:space="preserve">3:54</t>
  </si>
  <si>
    <t xml:space="preserve">VID114</t>
  </si>
  <si>
    <t xml:space="preserve">Career Tips &amp; Tricks #113</t>
  </si>
  <si>
    <t xml:space="preserve">6:20</t>
  </si>
  <si>
    <t xml:space="preserve">VID115</t>
  </si>
  <si>
    <t xml:space="preserve">Statistics Full Course #114</t>
  </si>
  <si>
    <t xml:space="preserve">3:33</t>
  </si>
  <si>
    <t xml:space="preserve">VID116</t>
  </si>
  <si>
    <t xml:space="preserve">Excel Beginner Guide #115</t>
  </si>
  <si>
    <t xml:space="preserve">5:04</t>
  </si>
  <si>
    <t xml:space="preserve">VID117</t>
  </si>
  <si>
    <t xml:space="preserve">Interview Q&amp;A #116</t>
  </si>
  <si>
    <t xml:space="preserve">VID118</t>
  </si>
  <si>
    <t xml:space="preserve">Data Analyst Tutorial #117</t>
  </si>
  <si>
    <t xml:space="preserve">5:45</t>
  </si>
  <si>
    <t xml:space="preserve">VID119</t>
  </si>
  <si>
    <t xml:space="preserve">Excel Roadmap #118</t>
  </si>
  <si>
    <t xml:space="preserve">5:49</t>
  </si>
  <si>
    <t xml:space="preserve">VID120</t>
  </si>
  <si>
    <t xml:space="preserve">Python Q&amp;A #119</t>
  </si>
  <si>
    <t xml:space="preserve">VID121</t>
  </si>
  <si>
    <t xml:space="preserve">Power BI Q&amp;A #120</t>
  </si>
  <si>
    <t xml:space="preserve">VID122</t>
  </si>
  <si>
    <t xml:space="preserve">Python Tutorial #121</t>
  </si>
  <si>
    <t xml:space="preserve">4:40</t>
  </si>
  <si>
    <t xml:space="preserve">VID123</t>
  </si>
  <si>
    <t xml:space="preserve">Python Full Course #122</t>
  </si>
  <si>
    <t xml:space="preserve">VID124</t>
  </si>
  <si>
    <t xml:space="preserve">ChatGPT Tips &amp; Tricks #123</t>
  </si>
  <si>
    <t xml:space="preserve">5:01</t>
  </si>
  <si>
    <t xml:space="preserve">VID125</t>
  </si>
  <si>
    <t xml:space="preserve">Career Project Walkthrough #124</t>
  </si>
  <si>
    <t xml:space="preserve">4:32</t>
  </si>
  <si>
    <t xml:space="preserve">VID126</t>
  </si>
  <si>
    <t xml:space="preserve">Excel Tutorial #125</t>
  </si>
  <si>
    <t xml:space="preserve">4:27</t>
  </si>
  <si>
    <t xml:space="preserve">VID127</t>
  </si>
  <si>
    <t xml:space="preserve">SQL Full Course #126</t>
  </si>
  <si>
    <t xml:space="preserve">4:15</t>
  </si>
  <si>
    <t xml:space="preserve">VID128</t>
  </si>
  <si>
    <t xml:space="preserve">Power BI Tips &amp; Tricks #127</t>
  </si>
  <si>
    <t xml:space="preserve">VID129</t>
  </si>
  <si>
    <t xml:space="preserve">Career Tips &amp; Tricks #128</t>
  </si>
  <si>
    <t xml:space="preserve">VID130</t>
  </si>
  <si>
    <t xml:space="preserve">Tableau Roadmap #129</t>
  </si>
  <si>
    <t xml:space="preserve">6:29</t>
  </si>
  <si>
    <t xml:space="preserve">VID131</t>
  </si>
  <si>
    <t xml:space="preserve">Career Tips &amp; Tricks #130</t>
  </si>
  <si>
    <t xml:space="preserve">5:31</t>
  </si>
  <si>
    <t xml:space="preserve">VID132</t>
  </si>
  <si>
    <t xml:space="preserve">Python Roadmap #131</t>
  </si>
  <si>
    <t xml:space="preserve">3:50</t>
  </si>
  <si>
    <t xml:space="preserve">VID133</t>
  </si>
  <si>
    <t xml:space="preserve">Excel Roadmap #132</t>
  </si>
  <si>
    <t xml:space="preserve">5:51</t>
  </si>
  <si>
    <t xml:space="preserve">VID134</t>
  </si>
  <si>
    <t xml:space="preserve">Statistics Roadmap #133</t>
  </si>
  <si>
    <t xml:space="preserve">6:24</t>
  </si>
  <si>
    <t xml:space="preserve">VID135</t>
  </si>
  <si>
    <t xml:space="preserve">Power BI Mistakes to Avoid #134</t>
  </si>
  <si>
    <t xml:space="preserve">4:13</t>
  </si>
  <si>
    <t xml:space="preserve">VID136</t>
  </si>
  <si>
    <t xml:space="preserve">Power BI Full Course #135</t>
  </si>
  <si>
    <t xml:space="preserve">VID137</t>
  </si>
  <si>
    <t xml:space="preserve">SQL Q&amp;A #136</t>
  </si>
  <si>
    <t xml:space="preserve">VID138</t>
  </si>
  <si>
    <t xml:space="preserve">Statistics Project Walkthrough #137</t>
  </si>
  <si>
    <t xml:space="preserve">3:32</t>
  </si>
  <si>
    <t xml:space="preserve">VID139</t>
  </si>
  <si>
    <t xml:space="preserve">Interview Mistakes to Avoid #138</t>
  </si>
  <si>
    <t xml:space="preserve">6:05</t>
  </si>
  <si>
    <t xml:space="preserve">VID140</t>
  </si>
  <si>
    <t xml:space="preserve">Interview Project Walkthrough #139</t>
  </si>
  <si>
    <t xml:space="preserve">VID141</t>
  </si>
  <si>
    <t xml:space="preserve">Statistics Mistakes to Avoid #140</t>
  </si>
  <si>
    <t xml:space="preserve">VID142</t>
  </si>
  <si>
    <t xml:space="preserve">Power BI Roadmap #141</t>
  </si>
  <si>
    <t xml:space="preserve">6:02</t>
  </si>
  <si>
    <t xml:space="preserve">VID143</t>
  </si>
  <si>
    <t xml:space="preserve">Statistics Roadmap #142</t>
  </si>
  <si>
    <t xml:space="preserve">3:37</t>
  </si>
  <si>
    <t xml:space="preserve">VID144</t>
  </si>
  <si>
    <t xml:space="preserve">SQL Beginner Guide #143</t>
  </si>
  <si>
    <t xml:space="preserve">5:29</t>
  </si>
  <si>
    <t xml:space="preserve">VID145</t>
  </si>
  <si>
    <t xml:space="preserve">Interview Project Walkthrough #144</t>
  </si>
  <si>
    <t xml:space="preserve">VID146</t>
  </si>
  <si>
    <t xml:space="preserve">ChatGPT Tutorial #145</t>
  </si>
  <si>
    <t xml:space="preserve">4:39</t>
  </si>
  <si>
    <t xml:space="preserve">VID147</t>
  </si>
  <si>
    <t xml:space="preserve">ChatGPT Roadmap #146</t>
  </si>
  <si>
    <t xml:space="preserve">3:24</t>
  </si>
  <si>
    <t xml:space="preserve">VID148</t>
  </si>
  <si>
    <t xml:space="preserve">Statistics Tips &amp; Tricks #147</t>
  </si>
  <si>
    <t xml:space="preserve">VID149</t>
  </si>
  <si>
    <t xml:space="preserve">SQL Roadmap #148</t>
  </si>
  <si>
    <t xml:space="preserve">VID150</t>
  </si>
  <si>
    <t xml:space="preserve">Statistics Roadmap #149</t>
  </si>
  <si>
    <t xml:space="preserve">4:17</t>
  </si>
  <si>
    <t xml:space="preserve">VID151</t>
  </si>
  <si>
    <t xml:space="preserve">ChatGPT Mistakes to Avoid #150</t>
  </si>
  <si>
    <t xml:space="preserve">VID152</t>
  </si>
  <si>
    <t xml:space="preserve">Dashboard Tips &amp; Tricks #151</t>
  </si>
  <si>
    <t xml:space="preserve">3:48</t>
  </si>
  <si>
    <t xml:space="preserve">VID153</t>
  </si>
  <si>
    <t xml:space="preserve">Statistics Project Walkthrough #152</t>
  </si>
  <si>
    <t xml:space="preserve">VID154</t>
  </si>
  <si>
    <t xml:space="preserve">Excel Roadmap #153</t>
  </si>
  <si>
    <t xml:space="preserve">VID155</t>
  </si>
  <si>
    <t xml:space="preserve">Projects Roadmap #154</t>
  </si>
  <si>
    <t xml:space="preserve">VID156</t>
  </si>
  <si>
    <t xml:space="preserve">Career Project Walkthrough #155</t>
  </si>
  <si>
    <t xml:space="preserve">VID157</t>
  </si>
  <si>
    <t xml:space="preserve">Dashboard Beginner Guide #156</t>
  </si>
  <si>
    <t xml:space="preserve">6:33</t>
  </si>
  <si>
    <t xml:space="preserve">VID158</t>
  </si>
  <si>
    <t xml:space="preserve">SQL Project Walkthrough #157</t>
  </si>
  <si>
    <t xml:space="preserve">VID159</t>
  </si>
  <si>
    <t xml:space="preserve">Career Full Course #158</t>
  </si>
  <si>
    <t xml:space="preserve">VID160</t>
  </si>
  <si>
    <t xml:space="preserve">Dashboard Tutorial #159</t>
  </si>
  <si>
    <t xml:space="preserve">VID161</t>
  </si>
  <si>
    <t xml:space="preserve">Data Analyst Tips &amp; Tricks #160</t>
  </si>
  <si>
    <t xml:space="preserve">VID162</t>
  </si>
  <si>
    <t xml:space="preserve">SQL Beginner Guide #161</t>
  </si>
  <si>
    <t xml:space="preserve">VID163</t>
  </si>
  <si>
    <t xml:space="preserve">Python Tips &amp; Tricks #162</t>
  </si>
  <si>
    <t xml:space="preserve">6:42</t>
  </si>
  <si>
    <t xml:space="preserve">VID164</t>
  </si>
  <si>
    <t xml:space="preserve">AI Tools Q&amp;A #163</t>
  </si>
  <si>
    <t xml:space="preserve">5:48</t>
  </si>
  <si>
    <t xml:space="preserve">VID165</t>
  </si>
  <si>
    <t xml:space="preserve">Excel Tips &amp; Tricks #164</t>
  </si>
  <si>
    <t xml:space="preserve">VID166</t>
  </si>
  <si>
    <t xml:space="preserve">Dashboard Beginner Guide #165</t>
  </si>
  <si>
    <t xml:space="preserve">4:51</t>
  </si>
  <si>
    <t xml:space="preserve">VID167</t>
  </si>
  <si>
    <t xml:space="preserve">Statistics Project Walkthrough #166</t>
  </si>
  <si>
    <t xml:space="preserve">5:17</t>
  </si>
  <si>
    <t xml:space="preserve">VID168</t>
  </si>
  <si>
    <t xml:space="preserve">Excel Beginner Guide #167</t>
  </si>
  <si>
    <t xml:space="preserve">VID169</t>
  </si>
  <si>
    <t xml:space="preserve">SQL Tutorial #168</t>
  </si>
  <si>
    <t xml:space="preserve">3:45</t>
  </si>
  <si>
    <t xml:space="preserve">VID170</t>
  </si>
  <si>
    <t xml:space="preserve">Dashboard Project Walkthrough #169</t>
  </si>
  <si>
    <t xml:space="preserve">VID171</t>
  </si>
  <si>
    <t xml:space="preserve">Excel Full Course #170</t>
  </si>
  <si>
    <t xml:space="preserve">5:15</t>
  </si>
  <si>
    <t xml:space="preserve">VID172</t>
  </si>
  <si>
    <t xml:space="preserve">Interview Tips &amp; Tricks #171</t>
  </si>
  <si>
    <t xml:space="preserve">VID173</t>
  </si>
  <si>
    <t xml:space="preserve">Dashboard Roadmap #172</t>
  </si>
  <si>
    <t xml:space="preserve">VID174</t>
  </si>
  <si>
    <t xml:space="preserve">Interview Roadmap #173</t>
  </si>
  <si>
    <t xml:space="preserve">VID175</t>
  </si>
  <si>
    <t xml:space="preserve">ChatGPT Tips &amp; Tricks #174</t>
  </si>
  <si>
    <t xml:space="preserve">VID176</t>
  </si>
  <si>
    <t xml:space="preserve">Dashboard Project Walkthrough #175</t>
  </si>
  <si>
    <t xml:space="preserve">VID177</t>
  </si>
  <si>
    <t xml:space="preserve">Interview Project Walkthrough #176</t>
  </si>
  <si>
    <t xml:space="preserve">VID178</t>
  </si>
  <si>
    <t xml:space="preserve">SQL Q&amp;A #177</t>
  </si>
  <si>
    <t xml:space="preserve">VID179</t>
  </si>
  <si>
    <t xml:space="preserve">Career Mistakes to Avoid #178</t>
  </si>
  <si>
    <t xml:space="preserve">VID180</t>
  </si>
  <si>
    <t xml:space="preserve">Projects Q&amp;A #179</t>
  </si>
  <si>
    <t xml:space="preserve">VID181</t>
  </si>
  <si>
    <t xml:space="preserve">Dashboard Beginner Guide #180</t>
  </si>
  <si>
    <t xml:space="preserve">VID182</t>
  </si>
  <si>
    <t xml:space="preserve">Data Analyst Mistakes to Avoid #181</t>
  </si>
  <si>
    <t xml:space="preserve">VID183</t>
  </si>
  <si>
    <t xml:space="preserve">Tableau Mistakes to Avoid #182</t>
  </si>
  <si>
    <t xml:space="preserve">VID184</t>
  </si>
  <si>
    <t xml:space="preserve">Power BI Q&amp;A #183</t>
  </si>
  <si>
    <t xml:space="preserve">VID185</t>
  </si>
  <si>
    <t xml:space="preserve">Python Mistakes to Avoid #184</t>
  </si>
  <si>
    <t xml:space="preserve">5:56</t>
  </si>
  <si>
    <t xml:space="preserve">VID186</t>
  </si>
  <si>
    <t xml:space="preserve">Excel Full Course #185</t>
  </si>
  <si>
    <t xml:space="preserve">traffic_source</t>
  </si>
  <si>
    <t xml:space="preserve">share_pct</t>
  </si>
  <si>
    <t xml:space="preserve">Browse Features</t>
  </si>
  <si>
    <t xml:space="preserve">Suggested Videos</t>
  </si>
  <si>
    <t xml:space="preserve">YouTube Search</t>
  </si>
  <si>
    <t xml:space="preserve">External</t>
  </si>
  <si>
    <t xml:space="preserve">Playlists</t>
  </si>
  <si>
    <t xml:space="preserve">Others</t>
  </si>
  <si>
    <t xml:space="preserve">gender</t>
  </si>
  <si>
    <t xml:space="preserve">age_group</t>
  </si>
  <si>
    <t xml:space="preserve">Male</t>
  </si>
  <si>
    <t xml:space="preserve">13-17</t>
  </si>
  <si>
    <t xml:space="preserve">18-24</t>
  </si>
  <si>
    <t xml:space="preserve">25-34</t>
  </si>
  <si>
    <t xml:space="preserve">35-44</t>
  </si>
  <si>
    <t xml:space="preserve">45-54</t>
  </si>
  <si>
    <t xml:space="preserve">55+</t>
  </si>
  <si>
    <t xml:space="preserve">Female</t>
  </si>
  <si>
    <t xml:space="preserve">Other</t>
  </si>
  <si>
    <t xml:space="preserve">country</t>
  </si>
  <si>
    <t xml:space="preserve">India</t>
  </si>
  <si>
    <t xml:space="preserve">United States</t>
  </si>
  <si>
    <t xml:space="preserve">United Kingdom</t>
  </si>
  <si>
    <t xml:space="preserve">Canada</t>
  </si>
  <si>
    <t xml:space="preserve">Australia</t>
  </si>
  <si>
    <t xml:space="preserve">Germany</t>
  </si>
  <si>
    <t xml:space="preserve">device_type</t>
  </si>
  <si>
    <t xml:space="preserve">Mobile</t>
  </si>
  <si>
    <t xml:space="preserve">Desktop</t>
  </si>
  <si>
    <t xml:space="preserve">TV</t>
  </si>
  <si>
    <t xml:space="preserve">Tablet</t>
  </si>
  <si>
    <t xml:space="preserve">video_position_pct</t>
  </si>
  <si>
    <t xml:space="preserve">audience_retention_pct</t>
  </si>
  <si>
    <t xml:space="preserve">hour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</si>
</sst>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.00"/>
    <numFmt numFmtId="167" formatCode="\$0.00"/>
    <numFmt numFmtId="168" formatCode="0.00"/>
    <numFmt numFmtId="169" formatCode="yyyy\-mm\-dd"/>
    <numFmt numFmtId="170" formatCode="yyyy\-mm\-dd\ hh: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4302B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430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f aca="false">SUM(Daily_Metrics!B2:B367)</f>
        <v>12400000</v>
      </c>
    </row>
    <row r="3" customFormat="false" ht="15" hidden="false" customHeight="false" outlineLevel="0" collapsed="false">
      <c r="A3" s="2" t="s">
        <v>3</v>
      </c>
      <c r="B3" s="3" t="n">
        <f aca="false">SUM(Daily_Metrics!C2:C367)</f>
        <v>1200000</v>
      </c>
    </row>
    <row r="4" customFormat="false" ht="15" hidden="false" customHeight="false" outlineLevel="0" collapsed="false">
      <c r="A4" s="2" t="s">
        <v>4</v>
      </c>
      <c r="B4" s="3" t="n">
        <f aca="false">SUM(Daily_Metrics!H2:H367)</f>
        <v>128000</v>
      </c>
    </row>
    <row r="5" customFormat="false" ht="15" hidden="false" customHeight="false" outlineLevel="0" collapsed="false">
      <c r="A5" s="2" t="s">
        <v>5</v>
      </c>
      <c r="B5" s="4" t="n">
        <f aca="false">SUM(Daily_Metrics!F2:F367)</f>
        <v>28600</v>
      </c>
    </row>
    <row r="6" customFormat="false" ht="15" hidden="false" customHeight="false" outlineLevel="0" collapsed="false">
      <c r="A6" s="2" t="s">
        <v>6</v>
      </c>
      <c r="B6" s="3" t="n">
        <f aca="false">SUM(Daily_Metrics!G2:G367)</f>
        <v>186</v>
      </c>
    </row>
    <row r="7" customFormat="false" ht="15" hidden="false" customHeight="false" outlineLevel="0" collapsed="false">
      <c r="A7" s="2" t="s">
        <v>7</v>
      </c>
      <c r="B7" s="5" t="n">
        <f aca="false">B5/B2*1000</f>
        <v>2.30645161290323</v>
      </c>
    </row>
    <row r="8" customFormat="false" ht="15" hidden="false" customHeight="false" outlineLevel="0" collapsed="false">
      <c r="A8" s="2" t="s">
        <v>8</v>
      </c>
      <c r="B8" s="6" t="n">
        <f aca="false">B3*60/B2</f>
        <v>5.80645161290323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2" t="s">
        <v>9</v>
      </c>
      <c r="B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15" hidden="false" customHeight="false" outlineLevel="0" collapsed="false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</row>
    <row r="2" customFormat="false" ht="15" hidden="false" customHeight="false" outlineLevel="0" collapsed="false">
      <c r="A2" s="2" t="str">
        <f aca="false">TEXT(B2,"mmm")</f>
        <v>Jan</v>
      </c>
      <c r="B2" s="8" t="n">
        <f aca="false">DATE(2024,1,1)</f>
        <v>45292</v>
      </c>
      <c r="C2" s="8" t="n">
        <f aca="false">EOMONTH(B2,0)</f>
        <v>45322</v>
      </c>
      <c r="D2" s="3" t="n">
        <f aca="false">SUMIFS(Daily_Metrics!$B$2:$B$367,Daily_Metrics!$A$2:$A$367,"&gt;="&amp;$B2,Daily_Metrics!$A$2:$A$367,"&lt;="&amp;$C2)</f>
        <v>582735</v>
      </c>
      <c r="E2" s="3" t="n">
        <f aca="false">SUMIFS(Daily_Metrics!$C$2:$C$367,Daily_Metrics!$A$2:$A$367,"&gt;="&amp;$B2,Daily_Metrics!$A$2:$A$367,"&lt;="&amp;$C2)</f>
        <v>56618</v>
      </c>
      <c r="F2" s="3" t="n">
        <f aca="false">SUMIFS(Daily_Metrics!$H$2:$H$367,Daily_Metrics!$A$2:$A$367,"&gt;="&amp;$B2,Daily_Metrics!$A$2:$A$367,"&lt;="&amp;$C2)</f>
        <v>6245</v>
      </c>
      <c r="G2" s="3" t="n">
        <f aca="false">SUM($F$2:F2)</f>
        <v>6245</v>
      </c>
      <c r="H2" s="4" t="n">
        <f aca="false">SUMIFS(Daily_Metrics!$F$2:$F$367,Daily_Metrics!$A$2:$A$367,"&gt;="&amp;$B2,Daily_Metrics!$A$2:$A$367,"&lt;="&amp;$C2)</f>
        <v>1198.97</v>
      </c>
      <c r="I2" s="3" t="n">
        <f aca="false">SUMIFS(Daily_Metrics!$G$2:$G$367,Daily_Metrics!$A$2:$A$367,"&gt;="&amp;$B2,Daily_Metrics!$A$2:$A$367,"&lt;="&amp;$C2)</f>
        <v>16</v>
      </c>
    </row>
    <row r="3" customFormat="false" ht="15" hidden="false" customHeight="false" outlineLevel="0" collapsed="false">
      <c r="A3" s="2" t="str">
        <f aca="false">TEXT(B3,"mmm")</f>
        <v>Feb</v>
      </c>
      <c r="B3" s="8" t="n">
        <f aca="false">DATE(2024,2,1)</f>
        <v>45323</v>
      </c>
      <c r="C3" s="8" t="n">
        <f aca="false">EOMONTH(B3,0)</f>
        <v>45351</v>
      </c>
      <c r="D3" s="3" t="n">
        <f aca="false">SUMIFS(Daily_Metrics!$B$2:$B$367,Daily_Metrics!$A$2:$A$367,"&gt;="&amp;$B3,Daily_Metrics!$A$2:$A$367,"&lt;="&amp;$C3)</f>
        <v>611925</v>
      </c>
      <c r="E3" s="3" t="n">
        <f aca="false">SUMIFS(Daily_Metrics!$C$2:$C$367,Daily_Metrics!$A$2:$A$367,"&gt;="&amp;$B3,Daily_Metrics!$A$2:$A$367,"&lt;="&amp;$C3)</f>
        <v>59003</v>
      </c>
      <c r="F3" s="3" t="n">
        <f aca="false">SUMIFS(Daily_Metrics!$H$2:$H$367,Daily_Metrics!$A$2:$A$367,"&gt;="&amp;$B3,Daily_Metrics!$A$2:$A$367,"&lt;="&amp;$C3)</f>
        <v>6336</v>
      </c>
      <c r="G3" s="3" t="n">
        <f aca="false">SUM($F$2:F3)</f>
        <v>12581</v>
      </c>
      <c r="H3" s="4" t="n">
        <f aca="false">SUMIFS(Daily_Metrics!$F$2:$F$367,Daily_Metrics!$A$2:$A$367,"&gt;="&amp;$B3,Daily_Metrics!$A$2:$A$367,"&lt;="&amp;$C3)</f>
        <v>1266.04</v>
      </c>
      <c r="I3" s="3" t="n">
        <f aca="false">SUMIFS(Daily_Metrics!$G$2:$G$367,Daily_Metrics!$A$2:$A$367,"&gt;="&amp;$B3,Daily_Metrics!$A$2:$A$367,"&lt;="&amp;$C3)</f>
        <v>18</v>
      </c>
    </row>
    <row r="4" customFormat="false" ht="15" hidden="false" customHeight="false" outlineLevel="0" collapsed="false">
      <c r="A4" s="2" t="str">
        <f aca="false">TEXT(B4,"mmm")</f>
        <v>Mar</v>
      </c>
      <c r="B4" s="8" t="n">
        <f aca="false">DATE(2024,3,1)</f>
        <v>45352</v>
      </c>
      <c r="C4" s="8" t="n">
        <f aca="false">EOMONTH(B4,0)</f>
        <v>45382</v>
      </c>
      <c r="D4" s="3" t="n">
        <f aca="false">SUMIFS(Daily_Metrics!$B$2:$B$367,Daily_Metrics!$A$2:$A$367,"&gt;="&amp;$B4,Daily_Metrics!$A$2:$A$367,"&lt;="&amp;$C4)</f>
        <v>808357</v>
      </c>
      <c r="E4" s="3" t="n">
        <f aca="false">SUMIFS(Daily_Metrics!$C$2:$C$367,Daily_Metrics!$A$2:$A$367,"&gt;="&amp;$B4,Daily_Metrics!$A$2:$A$367,"&lt;="&amp;$C4)</f>
        <v>79268</v>
      </c>
      <c r="F4" s="3" t="n">
        <f aca="false">SUMIFS(Daily_Metrics!$H$2:$H$367,Daily_Metrics!$A$2:$A$367,"&gt;="&amp;$B4,Daily_Metrics!$A$2:$A$367,"&lt;="&amp;$C4)</f>
        <v>8350</v>
      </c>
      <c r="G4" s="3" t="n">
        <f aca="false">SUM($F$2:F4)</f>
        <v>20931</v>
      </c>
      <c r="H4" s="4" t="n">
        <f aca="false">SUMIFS(Daily_Metrics!$F$2:$F$367,Daily_Metrics!$A$2:$A$367,"&gt;="&amp;$B4,Daily_Metrics!$A$2:$A$367,"&lt;="&amp;$C4)</f>
        <v>1736.2</v>
      </c>
      <c r="I4" s="3" t="n">
        <f aca="false">SUMIFS(Daily_Metrics!$G$2:$G$367,Daily_Metrics!$A$2:$A$367,"&gt;="&amp;$B4,Daily_Metrics!$A$2:$A$367,"&lt;="&amp;$C4)</f>
        <v>15</v>
      </c>
    </row>
    <row r="5" customFormat="false" ht="15" hidden="false" customHeight="false" outlineLevel="0" collapsed="false">
      <c r="A5" s="2" t="str">
        <f aca="false">TEXT(B5,"mmm")</f>
        <v>Apr</v>
      </c>
      <c r="B5" s="8" t="n">
        <f aca="false">DATE(2024,4,1)</f>
        <v>45383</v>
      </c>
      <c r="C5" s="8" t="n">
        <f aca="false">EOMONTH(B5,0)</f>
        <v>45412</v>
      </c>
      <c r="D5" s="3" t="n">
        <f aca="false">SUMIFS(Daily_Metrics!$B$2:$B$367,Daily_Metrics!$A$2:$A$367,"&gt;="&amp;$B5,Daily_Metrics!$A$2:$A$367,"&lt;="&amp;$C5)</f>
        <v>745432</v>
      </c>
      <c r="E5" s="3" t="n">
        <f aca="false">SUMIFS(Daily_Metrics!$C$2:$C$367,Daily_Metrics!$A$2:$A$367,"&gt;="&amp;$B5,Daily_Metrics!$A$2:$A$367,"&lt;="&amp;$C5)</f>
        <v>72432</v>
      </c>
      <c r="F5" s="3" t="n">
        <f aca="false">SUMIFS(Daily_Metrics!$H$2:$H$367,Daily_Metrics!$A$2:$A$367,"&gt;="&amp;$B5,Daily_Metrics!$A$2:$A$367,"&lt;="&amp;$C5)</f>
        <v>7940</v>
      </c>
      <c r="G5" s="3" t="n">
        <f aca="false">SUM($F$2:F5)</f>
        <v>28871</v>
      </c>
      <c r="H5" s="4" t="n">
        <f aca="false">SUMIFS(Daily_Metrics!$F$2:$F$367,Daily_Metrics!$A$2:$A$367,"&gt;="&amp;$B5,Daily_Metrics!$A$2:$A$367,"&lt;="&amp;$C5)</f>
        <v>1601</v>
      </c>
      <c r="I5" s="3" t="n">
        <f aca="false">SUMIFS(Daily_Metrics!$G$2:$G$367,Daily_Metrics!$A$2:$A$367,"&gt;="&amp;$B5,Daily_Metrics!$A$2:$A$367,"&lt;="&amp;$C5)</f>
        <v>15</v>
      </c>
    </row>
    <row r="6" customFormat="false" ht="15" hidden="false" customHeight="false" outlineLevel="0" collapsed="false">
      <c r="A6" s="2" t="str">
        <f aca="false">TEXT(B6,"mmm")</f>
        <v>May</v>
      </c>
      <c r="B6" s="8" t="n">
        <f aca="false">DATE(2024,5,1)</f>
        <v>45413</v>
      </c>
      <c r="C6" s="8" t="n">
        <f aca="false">EOMONTH(B6,0)</f>
        <v>45443</v>
      </c>
      <c r="D6" s="3" t="n">
        <f aca="false">SUMIFS(Daily_Metrics!$B$2:$B$367,Daily_Metrics!$A$2:$A$367,"&gt;="&amp;$B6,Daily_Metrics!$A$2:$A$367,"&lt;="&amp;$C6)</f>
        <v>977222</v>
      </c>
      <c r="E6" s="3" t="n">
        <f aca="false">SUMIFS(Daily_Metrics!$C$2:$C$367,Daily_Metrics!$A$2:$A$367,"&gt;="&amp;$B6,Daily_Metrics!$A$2:$A$367,"&lt;="&amp;$C6)</f>
        <v>94635</v>
      </c>
      <c r="F6" s="3" t="n">
        <f aca="false">SUMIFS(Daily_Metrics!$H$2:$H$367,Daily_Metrics!$A$2:$A$367,"&gt;="&amp;$B6,Daily_Metrics!$A$2:$A$367,"&lt;="&amp;$C6)</f>
        <v>9613</v>
      </c>
      <c r="G6" s="3" t="n">
        <f aca="false">SUM($F$2:F6)</f>
        <v>38484</v>
      </c>
      <c r="H6" s="4" t="n">
        <f aca="false">SUMIFS(Daily_Metrics!$F$2:$F$367,Daily_Metrics!$A$2:$A$367,"&gt;="&amp;$B6,Daily_Metrics!$A$2:$A$367,"&lt;="&amp;$C6)</f>
        <v>2167.16</v>
      </c>
      <c r="I6" s="3" t="n">
        <f aca="false">SUMIFS(Daily_Metrics!$G$2:$G$367,Daily_Metrics!$A$2:$A$367,"&gt;="&amp;$B6,Daily_Metrics!$A$2:$A$367,"&lt;="&amp;$C6)</f>
        <v>17</v>
      </c>
    </row>
    <row r="7" customFormat="false" ht="15" hidden="false" customHeight="false" outlineLevel="0" collapsed="false">
      <c r="A7" s="2" t="str">
        <f aca="false">TEXT(B7,"mmm")</f>
        <v>Jun</v>
      </c>
      <c r="B7" s="8" t="n">
        <f aca="false">DATE(2024,6,1)</f>
        <v>45444</v>
      </c>
      <c r="C7" s="8" t="n">
        <f aca="false">EOMONTH(B7,0)</f>
        <v>45473</v>
      </c>
      <c r="D7" s="3" t="n">
        <f aca="false">SUMIFS(Daily_Metrics!$B$2:$B$367,Daily_Metrics!$A$2:$A$367,"&gt;="&amp;$B7,Daily_Metrics!$A$2:$A$367,"&lt;="&amp;$C7)</f>
        <v>927455</v>
      </c>
      <c r="E7" s="3" t="n">
        <f aca="false">SUMIFS(Daily_Metrics!$C$2:$C$367,Daily_Metrics!$A$2:$A$367,"&gt;="&amp;$B7,Daily_Metrics!$A$2:$A$367,"&lt;="&amp;$C7)</f>
        <v>89870</v>
      </c>
      <c r="F7" s="3" t="n">
        <f aca="false">SUMIFS(Daily_Metrics!$H$2:$H$367,Daily_Metrics!$A$2:$A$367,"&gt;="&amp;$B7,Daily_Metrics!$A$2:$A$367,"&lt;="&amp;$C7)</f>
        <v>9154</v>
      </c>
      <c r="G7" s="3" t="n">
        <f aca="false">SUM($F$2:F7)</f>
        <v>47638</v>
      </c>
      <c r="H7" s="4" t="n">
        <f aca="false">SUMIFS(Daily_Metrics!$F$2:$F$367,Daily_Metrics!$A$2:$A$367,"&gt;="&amp;$B7,Daily_Metrics!$A$2:$A$367,"&lt;="&amp;$C7)</f>
        <v>2095.27</v>
      </c>
      <c r="I7" s="3" t="n">
        <f aca="false">SUMIFS(Daily_Metrics!$G$2:$G$367,Daily_Metrics!$A$2:$A$367,"&gt;="&amp;$B7,Daily_Metrics!$A$2:$A$367,"&lt;="&amp;$C7)</f>
        <v>17</v>
      </c>
    </row>
    <row r="8" customFormat="false" ht="15" hidden="false" customHeight="false" outlineLevel="0" collapsed="false">
      <c r="A8" s="2" t="str">
        <f aca="false">TEXT(B8,"mmm")</f>
        <v>Jul</v>
      </c>
      <c r="B8" s="8" t="n">
        <f aca="false">DATE(2024,7,1)</f>
        <v>45474</v>
      </c>
      <c r="C8" s="8" t="n">
        <f aca="false">EOMONTH(B8,0)</f>
        <v>45504</v>
      </c>
      <c r="D8" s="3" t="n">
        <f aca="false">SUMIFS(Daily_Metrics!$B$2:$B$367,Daily_Metrics!$A$2:$A$367,"&gt;="&amp;$B8,Daily_Metrics!$A$2:$A$367,"&lt;="&amp;$C8)</f>
        <v>1019482</v>
      </c>
      <c r="E8" s="3" t="n">
        <f aca="false">SUMIFS(Daily_Metrics!$C$2:$C$367,Daily_Metrics!$A$2:$A$367,"&gt;="&amp;$B8,Daily_Metrics!$A$2:$A$367,"&lt;="&amp;$C8)</f>
        <v>99140</v>
      </c>
      <c r="F8" s="3" t="n">
        <f aca="false">SUMIFS(Daily_Metrics!$H$2:$H$367,Daily_Metrics!$A$2:$A$367,"&gt;="&amp;$B8,Daily_Metrics!$A$2:$A$367,"&lt;="&amp;$C8)</f>
        <v>11259</v>
      </c>
      <c r="G8" s="3" t="n">
        <f aca="false">SUM($F$2:F8)</f>
        <v>58897</v>
      </c>
      <c r="H8" s="4" t="n">
        <f aca="false">SUMIFS(Daily_Metrics!$F$2:$F$367,Daily_Metrics!$A$2:$A$367,"&gt;="&amp;$B8,Daily_Metrics!$A$2:$A$367,"&lt;="&amp;$C8)</f>
        <v>2358.3</v>
      </c>
      <c r="I8" s="3" t="n">
        <f aca="false">SUMIFS(Daily_Metrics!$G$2:$G$367,Daily_Metrics!$A$2:$A$367,"&gt;="&amp;$B8,Daily_Metrics!$A$2:$A$367,"&lt;="&amp;$C8)</f>
        <v>13</v>
      </c>
    </row>
    <row r="9" customFormat="false" ht="15" hidden="false" customHeight="false" outlineLevel="0" collapsed="false">
      <c r="A9" s="2" t="str">
        <f aca="false">TEXT(B9,"mmm")</f>
        <v>Aug</v>
      </c>
      <c r="B9" s="8" t="n">
        <f aca="false">DATE(2024,8,1)</f>
        <v>45505</v>
      </c>
      <c r="C9" s="8" t="n">
        <f aca="false">EOMONTH(B9,0)</f>
        <v>45535</v>
      </c>
      <c r="D9" s="3" t="n">
        <f aca="false">SUMIFS(Daily_Metrics!$B$2:$B$367,Daily_Metrics!$A$2:$A$367,"&gt;="&amp;$B9,Daily_Metrics!$A$2:$A$367,"&lt;="&amp;$C9)</f>
        <v>1229466</v>
      </c>
      <c r="E9" s="3" t="n">
        <f aca="false">SUMIFS(Daily_Metrics!$C$2:$C$367,Daily_Metrics!$A$2:$A$367,"&gt;="&amp;$B9,Daily_Metrics!$A$2:$A$367,"&lt;="&amp;$C9)</f>
        <v>118478</v>
      </c>
      <c r="F9" s="3" t="n">
        <f aca="false">SUMIFS(Daily_Metrics!$H$2:$H$367,Daily_Metrics!$A$2:$A$367,"&gt;="&amp;$B9,Daily_Metrics!$A$2:$A$367,"&lt;="&amp;$C9)</f>
        <v>11930</v>
      </c>
      <c r="G9" s="3" t="n">
        <f aca="false">SUM($F$2:F9)</f>
        <v>70827</v>
      </c>
      <c r="H9" s="4" t="n">
        <f aca="false">SUMIFS(Daily_Metrics!$F$2:$F$367,Daily_Metrics!$A$2:$A$367,"&gt;="&amp;$B9,Daily_Metrics!$A$2:$A$367,"&lt;="&amp;$C9)</f>
        <v>2814.61</v>
      </c>
      <c r="I9" s="3" t="n">
        <f aca="false">SUMIFS(Daily_Metrics!$G$2:$G$367,Daily_Metrics!$A$2:$A$367,"&gt;="&amp;$B9,Daily_Metrics!$A$2:$A$367,"&lt;="&amp;$C9)</f>
        <v>14</v>
      </c>
    </row>
    <row r="10" customFormat="false" ht="15" hidden="false" customHeight="false" outlineLevel="0" collapsed="false">
      <c r="A10" s="2" t="str">
        <f aca="false">TEXT(B10,"mmm")</f>
        <v>Sep</v>
      </c>
      <c r="B10" s="8" t="n">
        <f aca="false">DATE(2024,9,1)</f>
        <v>45536</v>
      </c>
      <c r="C10" s="8" t="n">
        <f aca="false">EOMONTH(B10,0)</f>
        <v>45565</v>
      </c>
      <c r="D10" s="3" t="n">
        <f aca="false">SUMIFS(Daily_Metrics!$B$2:$B$367,Daily_Metrics!$A$2:$A$367,"&gt;="&amp;$B10,Daily_Metrics!$A$2:$A$367,"&lt;="&amp;$C10)</f>
        <v>1174879</v>
      </c>
      <c r="E10" s="3" t="n">
        <f aca="false">SUMIFS(Daily_Metrics!$C$2:$C$367,Daily_Metrics!$A$2:$A$367,"&gt;="&amp;$B10,Daily_Metrics!$A$2:$A$367,"&lt;="&amp;$C10)</f>
        <v>113699</v>
      </c>
      <c r="F10" s="3" t="n">
        <f aca="false">SUMIFS(Daily_Metrics!$H$2:$H$367,Daily_Metrics!$A$2:$A$367,"&gt;="&amp;$B10,Daily_Metrics!$A$2:$A$367,"&lt;="&amp;$C10)</f>
        <v>12534</v>
      </c>
      <c r="G10" s="3" t="n">
        <f aca="false">SUM($F$2:F10)</f>
        <v>83361</v>
      </c>
      <c r="H10" s="4" t="n">
        <f aca="false">SUMIFS(Daily_Metrics!$F$2:$F$367,Daily_Metrics!$A$2:$A$367,"&gt;="&amp;$B10,Daily_Metrics!$A$2:$A$367,"&lt;="&amp;$C10)</f>
        <v>2759.56</v>
      </c>
      <c r="I10" s="3" t="n">
        <f aca="false">SUMIFS(Daily_Metrics!$G$2:$G$367,Daily_Metrics!$A$2:$A$367,"&gt;="&amp;$B10,Daily_Metrics!$A$2:$A$367,"&lt;="&amp;$C10)</f>
        <v>16</v>
      </c>
    </row>
    <row r="11" customFormat="false" ht="15" hidden="false" customHeight="false" outlineLevel="0" collapsed="false">
      <c r="A11" s="2" t="str">
        <f aca="false">TEXT(B11,"mmm")</f>
        <v>Oct</v>
      </c>
      <c r="B11" s="8" t="n">
        <f aca="false">DATE(2024,10,1)</f>
        <v>45566</v>
      </c>
      <c r="C11" s="8" t="n">
        <f aca="false">EOMONTH(B11,0)</f>
        <v>45596</v>
      </c>
      <c r="D11" s="3" t="n">
        <f aca="false">SUMIFS(Daily_Metrics!$B$2:$B$367,Daily_Metrics!$A$2:$A$367,"&gt;="&amp;$B11,Daily_Metrics!$A$2:$A$367,"&lt;="&amp;$C11)</f>
        <v>1401107</v>
      </c>
      <c r="E11" s="3" t="n">
        <f aca="false">SUMIFS(Daily_Metrics!$C$2:$C$367,Daily_Metrics!$A$2:$A$367,"&gt;="&amp;$B11,Daily_Metrics!$A$2:$A$367,"&lt;="&amp;$C11)</f>
        <v>135255</v>
      </c>
      <c r="F11" s="3" t="n">
        <f aca="false">SUMIFS(Daily_Metrics!$H$2:$H$367,Daily_Metrics!$A$2:$A$367,"&gt;="&amp;$B11,Daily_Metrics!$A$2:$A$367,"&lt;="&amp;$C11)</f>
        <v>14187</v>
      </c>
      <c r="G11" s="3" t="n">
        <f aca="false">SUM($F$2:F11)</f>
        <v>97548</v>
      </c>
      <c r="H11" s="4" t="n">
        <f aca="false">SUMIFS(Daily_Metrics!$F$2:$F$367,Daily_Metrics!$A$2:$A$367,"&gt;="&amp;$B11,Daily_Metrics!$A$2:$A$367,"&lt;="&amp;$C11)</f>
        <v>3398.44</v>
      </c>
      <c r="I11" s="3" t="n">
        <f aca="false">SUMIFS(Daily_Metrics!$G$2:$G$367,Daily_Metrics!$A$2:$A$367,"&gt;="&amp;$B11,Daily_Metrics!$A$2:$A$367,"&lt;="&amp;$C11)</f>
        <v>13</v>
      </c>
    </row>
    <row r="12" customFormat="false" ht="15" hidden="false" customHeight="false" outlineLevel="0" collapsed="false">
      <c r="A12" s="2" t="str">
        <f aca="false">TEXT(B12,"mmm")</f>
        <v>Nov</v>
      </c>
      <c r="B12" s="8" t="n">
        <f aca="false">DATE(2024,11,1)</f>
        <v>45597</v>
      </c>
      <c r="C12" s="8" t="n">
        <f aca="false">EOMONTH(B12,0)</f>
        <v>45626</v>
      </c>
      <c r="D12" s="3" t="n">
        <f aca="false">SUMIFS(Daily_Metrics!$B$2:$B$367,Daily_Metrics!$A$2:$A$367,"&gt;="&amp;$B12,Daily_Metrics!$A$2:$A$367,"&lt;="&amp;$C12)</f>
        <v>1500058</v>
      </c>
      <c r="E12" s="3" t="n">
        <f aca="false">SUMIFS(Daily_Metrics!$C$2:$C$367,Daily_Metrics!$A$2:$A$367,"&gt;="&amp;$B12,Daily_Metrics!$A$2:$A$367,"&lt;="&amp;$C12)</f>
        <v>144859</v>
      </c>
      <c r="F12" s="3" t="n">
        <f aca="false">SUMIFS(Daily_Metrics!$H$2:$H$367,Daily_Metrics!$A$2:$A$367,"&gt;="&amp;$B12,Daily_Metrics!$A$2:$A$367,"&lt;="&amp;$C12)</f>
        <v>15649</v>
      </c>
      <c r="G12" s="3" t="n">
        <f aca="false">SUM($F$2:F12)</f>
        <v>113197</v>
      </c>
      <c r="H12" s="4" t="n">
        <f aca="false">SUMIFS(Daily_Metrics!$F$2:$F$367,Daily_Metrics!$A$2:$A$367,"&gt;="&amp;$B12,Daily_Metrics!$A$2:$A$367,"&lt;="&amp;$C12)</f>
        <v>3663.32</v>
      </c>
      <c r="I12" s="3" t="n">
        <f aca="false">SUMIFS(Daily_Metrics!$G$2:$G$367,Daily_Metrics!$A$2:$A$367,"&gt;="&amp;$B12,Daily_Metrics!$A$2:$A$367,"&lt;="&amp;$C12)</f>
        <v>18</v>
      </c>
    </row>
    <row r="13" customFormat="false" ht="15" hidden="false" customHeight="false" outlineLevel="0" collapsed="false">
      <c r="A13" s="2" t="str">
        <f aca="false">TEXT(B13,"mmm")</f>
        <v>Dec</v>
      </c>
      <c r="B13" s="8" t="n">
        <f aca="false">DATE(2024,12,1)</f>
        <v>45627</v>
      </c>
      <c r="C13" s="8" t="n">
        <f aca="false">EOMONTH(B13,0)</f>
        <v>45657</v>
      </c>
      <c r="D13" s="3" t="n">
        <f aca="false">SUMIFS(Daily_Metrics!$B$2:$B$367,Daily_Metrics!$A$2:$A$367,"&gt;="&amp;$B13,Daily_Metrics!$A$2:$A$367,"&lt;="&amp;$C13)</f>
        <v>1421882</v>
      </c>
      <c r="E13" s="3" t="n">
        <f aca="false">SUMIFS(Daily_Metrics!$C$2:$C$367,Daily_Metrics!$A$2:$A$367,"&gt;="&amp;$B13,Daily_Metrics!$A$2:$A$367,"&lt;="&amp;$C13)</f>
        <v>136743</v>
      </c>
      <c r="F13" s="3" t="n">
        <f aca="false">SUMIFS(Daily_Metrics!$H$2:$H$367,Daily_Metrics!$A$2:$A$367,"&gt;="&amp;$B13,Daily_Metrics!$A$2:$A$367,"&lt;="&amp;$C13)</f>
        <v>14803</v>
      </c>
      <c r="G13" s="3" t="n">
        <f aca="false">SUM($F$2:F13)</f>
        <v>128000</v>
      </c>
      <c r="H13" s="4" t="n">
        <f aca="false">SUMIFS(Daily_Metrics!$F$2:$F$367,Daily_Metrics!$A$2:$A$367,"&gt;="&amp;$B13,Daily_Metrics!$A$2:$A$367,"&lt;="&amp;$C13)</f>
        <v>3541.13</v>
      </c>
      <c r="I13" s="3" t="n">
        <f aca="false">SUMIFS(Daily_Metrics!$G$2:$G$367,Daily_Metrics!$A$2:$A$367,"&gt;="&amp;$B13,Daily_Metrics!$A$2:$A$367,"&lt;="&amp;$C13)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3"/>
    <col collapsed="false" customWidth="true" hidden="false" outlineLevel="0" max="7" min="7" style="0" width="18"/>
    <col collapsed="false" customWidth="true" hidden="false" outlineLevel="0" max="8" min="8" style="0" width="17"/>
  </cols>
  <sheetData>
    <row r="1" customFormat="false" ht="15" hidden="false" customHeight="false" outlineLevel="0" collapsed="false">
      <c r="A1" s="7" t="s">
        <v>19</v>
      </c>
      <c r="B1" s="7" t="s">
        <v>13</v>
      </c>
      <c r="C1" s="7" t="s">
        <v>14</v>
      </c>
      <c r="D1" s="7" t="s">
        <v>20</v>
      </c>
      <c r="E1" s="7" t="s">
        <v>21</v>
      </c>
      <c r="F1" s="7" t="s">
        <v>17</v>
      </c>
      <c r="G1" s="7" t="s">
        <v>18</v>
      </c>
      <c r="H1" s="7" t="s">
        <v>15</v>
      </c>
    </row>
    <row r="2" customFormat="false" ht="15" hidden="false" customHeight="false" outlineLevel="0" collapsed="false">
      <c r="A2" s="8" t="n">
        <v>45292</v>
      </c>
      <c r="B2" s="3" t="n">
        <v>17284</v>
      </c>
      <c r="C2" s="3" t="n">
        <v>1630</v>
      </c>
      <c r="D2" s="3" t="n">
        <v>206</v>
      </c>
      <c r="E2" s="3" t="n">
        <v>17</v>
      </c>
      <c r="F2" s="4" t="n">
        <v>38.52</v>
      </c>
      <c r="G2" s="3" t="n">
        <v>0</v>
      </c>
      <c r="H2" s="3" t="n">
        <v>189</v>
      </c>
    </row>
    <row r="3" customFormat="false" ht="15" hidden="false" customHeight="false" outlineLevel="0" collapsed="false">
      <c r="A3" s="8" t="n">
        <v>45293</v>
      </c>
      <c r="B3" s="3" t="n">
        <v>14775</v>
      </c>
      <c r="C3" s="3" t="n">
        <v>1389</v>
      </c>
      <c r="D3" s="3" t="n">
        <v>157</v>
      </c>
      <c r="E3" s="3" t="n">
        <v>19</v>
      </c>
      <c r="F3" s="4" t="n">
        <v>30.54</v>
      </c>
      <c r="G3" s="3" t="n">
        <v>1</v>
      </c>
      <c r="H3" s="3" t="n">
        <v>138</v>
      </c>
    </row>
    <row r="4" customFormat="false" ht="15" hidden="false" customHeight="false" outlineLevel="0" collapsed="false">
      <c r="A4" s="8" t="n">
        <v>45294</v>
      </c>
      <c r="B4" s="3" t="n">
        <v>18399</v>
      </c>
      <c r="C4" s="3" t="n">
        <v>1803</v>
      </c>
      <c r="D4" s="3" t="n">
        <v>210</v>
      </c>
      <c r="E4" s="3" t="n">
        <v>18</v>
      </c>
      <c r="F4" s="4" t="n">
        <v>34.23</v>
      </c>
      <c r="G4" s="3" t="n">
        <v>0</v>
      </c>
      <c r="H4" s="3" t="n">
        <v>192</v>
      </c>
    </row>
    <row r="5" customFormat="false" ht="15" hidden="false" customHeight="false" outlineLevel="0" collapsed="false">
      <c r="A5" s="8" t="n">
        <v>45295</v>
      </c>
      <c r="B5" s="3" t="n">
        <v>18909</v>
      </c>
      <c r="C5" s="3" t="n">
        <v>1900</v>
      </c>
      <c r="D5" s="3" t="n">
        <v>212</v>
      </c>
      <c r="E5" s="3" t="n">
        <v>15</v>
      </c>
      <c r="F5" s="4" t="n">
        <v>34.99</v>
      </c>
      <c r="G5" s="3" t="n">
        <v>1</v>
      </c>
      <c r="H5" s="3" t="n">
        <v>197</v>
      </c>
    </row>
    <row r="6" customFormat="false" ht="15" hidden="false" customHeight="false" outlineLevel="0" collapsed="false">
      <c r="A6" s="8" t="n">
        <v>45296</v>
      </c>
      <c r="B6" s="3" t="n">
        <v>13425</v>
      </c>
      <c r="C6" s="3" t="n">
        <v>1306</v>
      </c>
      <c r="D6" s="3" t="n">
        <v>165</v>
      </c>
      <c r="E6" s="3" t="n">
        <v>15</v>
      </c>
      <c r="F6" s="4" t="n">
        <v>24.72</v>
      </c>
      <c r="G6" s="3" t="n">
        <v>0</v>
      </c>
      <c r="H6" s="3" t="n">
        <v>150</v>
      </c>
    </row>
    <row r="7" customFormat="false" ht="15" hidden="false" customHeight="false" outlineLevel="0" collapsed="false">
      <c r="A7" s="8" t="n">
        <v>45297</v>
      </c>
      <c r="B7" s="3" t="n">
        <v>16763</v>
      </c>
      <c r="C7" s="3" t="n">
        <v>1716</v>
      </c>
      <c r="D7" s="3" t="n">
        <v>207</v>
      </c>
      <c r="E7" s="3" t="n">
        <v>15</v>
      </c>
      <c r="F7" s="4" t="n">
        <v>30.06</v>
      </c>
      <c r="G7" s="3" t="n">
        <v>1</v>
      </c>
      <c r="H7" s="3" t="n">
        <v>192</v>
      </c>
    </row>
    <row r="8" customFormat="false" ht="15" hidden="false" customHeight="false" outlineLevel="0" collapsed="false">
      <c r="A8" s="8" t="n">
        <v>45298</v>
      </c>
      <c r="B8" s="3" t="n">
        <v>19990</v>
      </c>
      <c r="C8" s="3" t="n">
        <v>2010</v>
      </c>
      <c r="D8" s="3" t="n">
        <v>172</v>
      </c>
      <c r="E8" s="3" t="n">
        <v>9</v>
      </c>
      <c r="F8" s="4" t="n">
        <v>41.68</v>
      </c>
      <c r="G8" s="3" t="n">
        <v>0</v>
      </c>
      <c r="H8" s="3" t="n">
        <v>163</v>
      </c>
    </row>
    <row r="9" customFormat="false" ht="15" hidden="false" customHeight="false" outlineLevel="0" collapsed="false">
      <c r="A9" s="8" t="n">
        <v>45299</v>
      </c>
      <c r="B9" s="3" t="n">
        <v>16554</v>
      </c>
      <c r="C9" s="3" t="n">
        <v>1663</v>
      </c>
      <c r="D9" s="3" t="n">
        <v>129</v>
      </c>
      <c r="E9" s="3" t="n">
        <v>16</v>
      </c>
      <c r="F9" s="4" t="n">
        <v>37.46</v>
      </c>
      <c r="G9" s="3" t="n">
        <v>1</v>
      </c>
      <c r="H9" s="3" t="n">
        <v>113</v>
      </c>
    </row>
    <row r="10" customFormat="false" ht="15" hidden="false" customHeight="false" outlineLevel="0" collapsed="false">
      <c r="A10" s="8" t="n">
        <v>45300</v>
      </c>
      <c r="B10" s="3" t="n">
        <v>17235</v>
      </c>
      <c r="C10" s="3" t="n">
        <v>1713</v>
      </c>
      <c r="D10" s="3" t="n">
        <v>219</v>
      </c>
      <c r="E10" s="3" t="n">
        <v>9</v>
      </c>
      <c r="F10" s="4" t="n">
        <v>35.63</v>
      </c>
      <c r="G10" s="3" t="n">
        <v>0</v>
      </c>
      <c r="H10" s="3" t="n">
        <v>210</v>
      </c>
    </row>
    <row r="11" customFormat="false" ht="15" hidden="false" customHeight="false" outlineLevel="0" collapsed="false">
      <c r="A11" s="8" t="n">
        <v>45301</v>
      </c>
      <c r="B11" s="3" t="n">
        <v>15658</v>
      </c>
      <c r="C11" s="3" t="n">
        <v>1664</v>
      </c>
      <c r="D11" s="3" t="n">
        <v>205</v>
      </c>
      <c r="E11" s="3" t="n">
        <v>10</v>
      </c>
      <c r="F11" s="4" t="n">
        <v>27.06</v>
      </c>
      <c r="G11" s="3" t="n">
        <v>1</v>
      </c>
      <c r="H11" s="3" t="n">
        <v>195</v>
      </c>
    </row>
    <row r="12" customFormat="false" ht="15" hidden="false" customHeight="false" outlineLevel="0" collapsed="false">
      <c r="A12" s="8" t="n">
        <v>45302</v>
      </c>
      <c r="B12" s="3" t="n">
        <v>19361</v>
      </c>
      <c r="C12" s="3" t="n">
        <v>1867</v>
      </c>
      <c r="D12" s="3" t="n">
        <v>182</v>
      </c>
      <c r="E12" s="3" t="n">
        <v>20</v>
      </c>
      <c r="F12" s="4" t="n">
        <v>39.51</v>
      </c>
      <c r="G12" s="3" t="n">
        <v>1</v>
      </c>
      <c r="H12" s="3" t="n">
        <v>162</v>
      </c>
    </row>
    <row r="13" customFormat="false" ht="15" hidden="false" customHeight="false" outlineLevel="0" collapsed="false">
      <c r="A13" s="8" t="n">
        <v>45303</v>
      </c>
      <c r="B13" s="3" t="n">
        <v>19209</v>
      </c>
      <c r="C13" s="3" t="n">
        <v>1718</v>
      </c>
      <c r="D13" s="3" t="n">
        <v>159</v>
      </c>
      <c r="E13" s="3" t="n">
        <v>17</v>
      </c>
      <c r="F13" s="4" t="n">
        <v>39.31</v>
      </c>
      <c r="G13" s="3" t="n">
        <v>1</v>
      </c>
      <c r="H13" s="3" t="n">
        <v>142</v>
      </c>
    </row>
    <row r="14" customFormat="false" ht="15" hidden="false" customHeight="false" outlineLevel="0" collapsed="false">
      <c r="A14" s="8" t="n">
        <v>45304</v>
      </c>
      <c r="B14" s="3" t="n">
        <v>20370</v>
      </c>
      <c r="C14" s="3" t="n">
        <v>2107</v>
      </c>
      <c r="D14" s="3" t="n">
        <v>227</v>
      </c>
      <c r="E14" s="3" t="n">
        <v>21</v>
      </c>
      <c r="F14" s="4" t="n">
        <v>49.97</v>
      </c>
      <c r="G14" s="3" t="n">
        <v>1</v>
      </c>
      <c r="H14" s="3" t="n">
        <v>206</v>
      </c>
    </row>
    <row r="15" customFormat="false" ht="15" hidden="false" customHeight="false" outlineLevel="0" collapsed="false">
      <c r="A15" s="8" t="n">
        <v>45305</v>
      </c>
      <c r="B15" s="3" t="n">
        <v>23237</v>
      </c>
      <c r="C15" s="3" t="n">
        <v>2218</v>
      </c>
      <c r="D15" s="3" t="n">
        <v>293</v>
      </c>
      <c r="E15" s="3" t="n">
        <v>12</v>
      </c>
      <c r="F15" s="4" t="n">
        <v>42.92</v>
      </c>
      <c r="G15" s="3" t="n">
        <v>1</v>
      </c>
      <c r="H15" s="3" t="n">
        <v>281</v>
      </c>
    </row>
    <row r="16" customFormat="false" ht="15" hidden="false" customHeight="false" outlineLevel="0" collapsed="false">
      <c r="A16" s="8" t="n">
        <v>45306</v>
      </c>
      <c r="B16" s="3" t="n">
        <v>18748</v>
      </c>
      <c r="C16" s="3" t="n">
        <v>1830</v>
      </c>
      <c r="D16" s="3" t="n">
        <v>269</v>
      </c>
      <c r="E16" s="3" t="n">
        <v>10</v>
      </c>
      <c r="F16" s="4" t="n">
        <v>37.74</v>
      </c>
      <c r="G16" s="3" t="n">
        <v>0</v>
      </c>
      <c r="H16" s="3" t="n">
        <v>259</v>
      </c>
    </row>
    <row r="17" customFormat="false" ht="15" hidden="false" customHeight="false" outlineLevel="0" collapsed="false">
      <c r="A17" s="8" t="n">
        <v>45307</v>
      </c>
      <c r="B17" s="3" t="n">
        <v>16057</v>
      </c>
      <c r="C17" s="3" t="n">
        <v>1643</v>
      </c>
      <c r="D17" s="3" t="n">
        <v>190</v>
      </c>
      <c r="E17" s="3" t="n">
        <v>13</v>
      </c>
      <c r="F17" s="4" t="n">
        <v>38.25</v>
      </c>
      <c r="G17" s="3" t="n">
        <v>1</v>
      </c>
      <c r="H17" s="3" t="n">
        <v>177</v>
      </c>
    </row>
    <row r="18" customFormat="false" ht="15" hidden="false" customHeight="false" outlineLevel="0" collapsed="false">
      <c r="A18" s="8" t="n">
        <v>45308</v>
      </c>
      <c r="B18" s="3" t="n">
        <v>18686</v>
      </c>
      <c r="C18" s="3" t="n">
        <v>1700</v>
      </c>
      <c r="D18" s="3" t="n">
        <v>194</v>
      </c>
      <c r="E18" s="3" t="n">
        <v>14</v>
      </c>
      <c r="F18" s="4" t="n">
        <v>40.28</v>
      </c>
      <c r="G18" s="3" t="n">
        <v>0</v>
      </c>
      <c r="H18" s="3" t="n">
        <v>180</v>
      </c>
    </row>
    <row r="19" customFormat="false" ht="15" hidden="false" customHeight="false" outlineLevel="0" collapsed="false">
      <c r="A19" s="8" t="n">
        <v>45309</v>
      </c>
      <c r="B19" s="3" t="n">
        <v>16002</v>
      </c>
      <c r="C19" s="3" t="n">
        <v>1478</v>
      </c>
      <c r="D19" s="3" t="n">
        <v>153</v>
      </c>
      <c r="E19" s="3" t="n">
        <v>14</v>
      </c>
      <c r="F19" s="4" t="n">
        <v>34.83</v>
      </c>
      <c r="G19" s="3" t="n">
        <v>1</v>
      </c>
      <c r="H19" s="3" t="n">
        <v>139</v>
      </c>
    </row>
    <row r="20" customFormat="false" ht="15" hidden="false" customHeight="false" outlineLevel="0" collapsed="false">
      <c r="A20" s="8" t="n">
        <v>45310</v>
      </c>
      <c r="B20" s="3" t="n">
        <v>20033</v>
      </c>
      <c r="C20" s="3" t="n">
        <v>1823</v>
      </c>
      <c r="D20" s="3" t="n">
        <v>220</v>
      </c>
      <c r="E20" s="3" t="n">
        <v>19</v>
      </c>
      <c r="F20" s="4" t="n">
        <v>42.09</v>
      </c>
      <c r="G20" s="3" t="n">
        <v>1</v>
      </c>
      <c r="H20" s="3" t="n">
        <v>201</v>
      </c>
    </row>
    <row r="21" customFormat="false" ht="15" hidden="false" customHeight="false" outlineLevel="0" collapsed="false">
      <c r="A21" s="8" t="n">
        <v>45311</v>
      </c>
      <c r="B21" s="3" t="n">
        <v>20696</v>
      </c>
      <c r="C21" s="3" t="n">
        <v>1948</v>
      </c>
      <c r="D21" s="3" t="n">
        <v>217</v>
      </c>
      <c r="E21" s="3" t="n">
        <v>12</v>
      </c>
      <c r="F21" s="4" t="n">
        <v>44.27</v>
      </c>
      <c r="G21" s="3" t="n">
        <v>0</v>
      </c>
      <c r="H21" s="3" t="n">
        <v>205</v>
      </c>
    </row>
    <row r="22" customFormat="false" ht="15" hidden="false" customHeight="false" outlineLevel="0" collapsed="false">
      <c r="A22" s="8" t="n">
        <v>45312</v>
      </c>
      <c r="B22" s="3" t="n">
        <v>20449</v>
      </c>
      <c r="C22" s="3" t="n">
        <v>2023</v>
      </c>
      <c r="D22" s="3" t="n">
        <v>192</v>
      </c>
      <c r="E22" s="3" t="n">
        <v>15</v>
      </c>
      <c r="F22" s="4" t="n">
        <v>45.36</v>
      </c>
      <c r="G22" s="3" t="n">
        <v>0</v>
      </c>
      <c r="H22" s="3" t="n">
        <v>177</v>
      </c>
    </row>
    <row r="23" customFormat="false" ht="15" hidden="false" customHeight="false" outlineLevel="0" collapsed="false">
      <c r="A23" s="8" t="n">
        <v>45313</v>
      </c>
      <c r="B23" s="3" t="n">
        <v>16824</v>
      </c>
      <c r="C23" s="3" t="n">
        <v>1670</v>
      </c>
      <c r="D23" s="3" t="n">
        <v>251</v>
      </c>
      <c r="E23" s="3" t="n">
        <v>10</v>
      </c>
      <c r="F23" s="4" t="n">
        <v>32.89</v>
      </c>
      <c r="G23" s="3" t="n">
        <v>1</v>
      </c>
      <c r="H23" s="3" t="n">
        <v>241</v>
      </c>
    </row>
    <row r="24" customFormat="false" ht="15" hidden="false" customHeight="false" outlineLevel="0" collapsed="false">
      <c r="A24" s="8" t="n">
        <v>45314</v>
      </c>
      <c r="B24" s="3" t="n">
        <v>21229</v>
      </c>
      <c r="C24" s="3" t="n">
        <v>2087</v>
      </c>
      <c r="D24" s="3" t="n">
        <v>304</v>
      </c>
      <c r="E24" s="3" t="n">
        <v>16</v>
      </c>
      <c r="F24" s="4" t="n">
        <v>47.53</v>
      </c>
      <c r="G24" s="3" t="n">
        <v>0</v>
      </c>
      <c r="H24" s="3" t="n">
        <v>288</v>
      </c>
    </row>
    <row r="25" customFormat="false" ht="15" hidden="false" customHeight="false" outlineLevel="0" collapsed="false">
      <c r="A25" s="8" t="n">
        <v>45315</v>
      </c>
      <c r="B25" s="3" t="n">
        <v>18070</v>
      </c>
      <c r="C25" s="3" t="n">
        <v>1657</v>
      </c>
      <c r="D25" s="3" t="n">
        <v>235</v>
      </c>
      <c r="E25" s="3" t="n">
        <v>14</v>
      </c>
      <c r="F25" s="4" t="n">
        <v>33.81</v>
      </c>
      <c r="G25" s="3" t="n">
        <v>1</v>
      </c>
      <c r="H25" s="3" t="n">
        <v>221</v>
      </c>
    </row>
    <row r="26" customFormat="false" ht="15" hidden="false" customHeight="false" outlineLevel="0" collapsed="false">
      <c r="A26" s="8" t="n">
        <v>45316</v>
      </c>
      <c r="B26" s="3" t="n">
        <v>17558</v>
      </c>
      <c r="C26" s="3" t="n">
        <v>1549</v>
      </c>
      <c r="D26" s="3" t="n">
        <v>168</v>
      </c>
      <c r="E26" s="3" t="n">
        <v>11</v>
      </c>
      <c r="F26" s="4" t="n">
        <v>37.66</v>
      </c>
      <c r="G26" s="3" t="n">
        <v>1</v>
      </c>
      <c r="H26" s="3" t="n">
        <v>157</v>
      </c>
    </row>
    <row r="27" customFormat="false" ht="15" hidden="false" customHeight="false" outlineLevel="0" collapsed="false">
      <c r="A27" s="8" t="n">
        <v>45317</v>
      </c>
      <c r="B27" s="3" t="n">
        <v>17792</v>
      </c>
      <c r="C27" s="3" t="n">
        <v>1733</v>
      </c>
      <c r="D27" s="3" t="n">
        <v>222</v>
      </c>
      <c r="E27" s="3" t="n">
        <v>13</v>
      </c>
      <c r="F27" s="4" t="n">
        <v>37.73</v>
      </c>
      <c r="G27" s="3" t="n">
        <v>0</v>
      </c>
      <c r="H27" s="3" t="n">
        <v>209</v>
      </c>
    </row>
    <row r="28" customFormat="false" ht="15" hidden="false" customHeight="false" outlineLevel="0" collapsed="false">
      <c r="A28" s="8" t="n">
        <v>45318</v>
      </c>
      <c r="B28" s="3" t="n">
        <v>22845</v>
      </c>
      <c r="C28" s="3" t="n">
        <v>2179</v>
      </c>
      <c r="D28" s="3" t="n">
        <v>275</v>
      </c>
      <c r="E28" s="3" t="n">
        <v>13</v>
      </c>
      <c r="F28" s="4" t="n">
        <v>45.49</v>
      </c>
      <c r="G28" s="3" t="n">
        <v>0</v>
      </c>
      <c r="H28" s="3" t="n">
        <v>262</v>
      </c>
    </row>
    <row r="29" customFormat="false" ht="15" hidden="false" customHeight="false" outlineLevel="0" collapsed="false">
      <c r="A29" s="8" t="n">
        <v>45319</v>
      </c>
      <c r="B29" s="3" t="n">
        <v>22483</v>
      </c>
      <c r="C29" s="3" t="n">
        <v>2226</v>
      </c>
      <c r="D29" s="3" t="n">
        <v>263</v>
      </c>
      <c r="E29" s="3" t="n">
        <v>13</v>
      </c>
      <c r="F29" s="4" t="n">
        <v>46.97</v>
      </c>
      <c r="G29" s="3" t="n">
        <v>0</v>
      </c>
      <c r="H29" s="3" t="n">
        <v>250</v>
      </c>
    </row>
    <row r="30" customFormat="false" ht="15" hidden="false" customHeight="false" outlineLevel="0" collapsed="false">
      <c r="A30" s="8" t="n">
        <v>45320</v>
      </c>
      <c r="B30" s="3" t="n">
        <v>19741</v>
      </c>
      <c r="C30" s="3" t="n">
        <v>1973</v>
      </c>
      <c r="D30" s="3" t="n">
        <v>261</v>
      </c>
      <c r="E30" s="3" t="n">
        <v>24</v>
      </c>
      <c r="F30" s="4" t="n">
        <v>39.34</v>
      </c>
      <c r="G30" s="3" t="n">
        <v>0</v>
      </c>
      <c r="H30" s="3" t="n">
        <v>237</v>
      </c>
    </row>
    <row r="31" customFormat="false" ht="15" hidden="false" customHeight="false" outlineLevel="0" collapsed="false">
      <c r="A31" s="8" t="n">
        <v>45321</v>
      </c>
      <c r="B31" s="3" t="n">
        <v>19864</v>
      </c>
      <c r="C31" s="3" t="n">
        <v>1942</v>
      </c>
      <c r="D31" s="3" t="n">
        <v>239</v>
      </c>
      <c r="E31" s="3" t="n">
        <v>14</v>
      </c>
      <c r="F31" s="4" t="n">
        <v>38.21</v>
      </c>
      <c r="G31" s="3" t="n">
        <v>1</v>
      </c>
      <c r="H31" s="3" t="n">
        <v>225</v>
      </c>
    </row>
    <row r="32" customFormat="false" ht="15" hidden="false" customHeight="false" outlineLevel="0" collapsed="false">
      <c r="A32" s="8" t="n">
        <v>45322</v>
      </c>
      <c r="B32" s="3" t="n">
        <v>24489</v>
      </c>
      <c r="C32" s="3" t="n">
        <v>2453</v>
      </c>
      <c r="D32" s="3" t="n">
        <v>300</v>
      </c>
      <c r="E32" s="3" t="n">
        <v>13</v>
      </c>
      <c r="F32" s="4" t="n">
        <v>49.92</v>
      </c>
      <c r="G32" s="3" t="n">
        <v>0</v>
      </c>
      <c r="H32" s="3" t="n">
        <v>287</v>
      </c>
    </row>
    <row r="33" customFormat="false" ht="15" hidden="false" customHeight="false" outlineLevel="0" collapsed="false">
      <c r="A33" s="8" t="n">
        <v>45323</v>
      </c>
      <c r="B33" s="3" t="n">
        <v>18110</v>
      </c>
      <c r="C33" s="3" t="n">
        <v>1777</v>
      </c>
      <c r="D33" s="3" t="n">
        <v>218</v>
      </c>
      <c r="E33" s="3" t="n">
        <v>8</v>
      </c>
      <c r="F33" s="4" t="n">
        <v>34.79</v>
      </c>
      <c r="G33" s="3" t="n">
        <v>1</v>
      </c>
      <c r="H33" s="3" t="n">
        <v>210</v>
      </c>
    </row>
    <row r="34" customFormat="false" ht="15" hidden="false" customHeight="false" outlineLevel="0" collapsed="false">
      <c r="A34" s="8" t="n">
        <v>45324</v>
      </c>
      <c r="B34" s="3" t="n">
        <v>17953</v>
      </c>
      <c r="C34" s="3" t="n">
        <v>1782</v>
      </c>
      <c r="D34" s="3" t="n">
        <v>207</v>
      </c>
      <c r="E34" s="3" t="n">
        <v>11</v>
      </c>
      <c r="F34" s="4" t="n">
        <v>38.68</v>
      </c>
      <c r="G34" s="3" t="n">
        <v>1</v>
      </c>
      <c r="H34" s="3" t="n">
        <v>196</v>
      </c>
    </row>
    <row r="35" customFormat="false" ht="15" hidden="false" customHeight="false" outlineLevel="0" collapsed="false">
      <c r="A35" s="8" t="n">
        <v>45325</v>
      </c>
      <c r="B35" s="3" t="n">
        <v>19991</v>
      </c>
      <c r="C35" s="3" t="n">
        <v>1889</v>
      </c>
      <c r="D35" s="3" t="n">
        <v>168</v>
      </c>
      <c r="E35" s="3" t="n">
        <v>13</v>
      </c>
      <c r="F35" s="4" t="n">
        <v>38.3</v>
      </c>
      <c r="G35" s="3" t="n">
        <v>1</v>
      </c>
      <c r="H35" s="3" t="n">
        <v>155</v>
      </c>
    </row>
    <row r="36" customFormat="false" ht="15" hidden="false" customHeight="false" outlineLevel="0" collapsed="false">
      <c r="A36" s="8" t="n">
        <v>45326</v>
      </c>
      <c r="B36" s="3" t="n">
        <v>23827</v>
      </c>
      <c r="C36" s="3" t="n">
        <v>2300</v>
      </c>
      <c r="D36" s="3" t="n">
        <v>264</v>
      </c>
      <c r="E36" s="3" t="n">
        <v>12</v>
      </c>
      <c r="F36" s="4" t="n">
        <v>53.02</v>
      </c>
      <c r="G36" s="3" t="n">
        <v>0</v>
      </c>
      <c r="H36" s="3" t="n">
        <v>252</v>
      </c>
    </row>
    <row r="37" customFormat="false" ht="15" hidden="false" customHeight="false" outlineLevel="0" collapsed="false">
      <c r="A37" s="8" t="n">
        <v>45327</v>
      </c>
      <c r="B37" s="3" t="n">
        <v>22122</v>
      </c>
      <c r="C37" s="3" t="n">
        <v>2167</v>
      </c>
      <c r="D37" s="3" t="n">
        <v>223</v>
      </c>
      <c r="E37" s="3" t="n">
        <v>22</v>
      </c>
      <c r="F37" s="4" t="n">
        <v>42.33</v>
      </c>
      <c r="G37" s="3" t="n">
        <v>1</v>
      </c>
      <c r="H37" s="3" t="n">
        <v>201</v>
      </c>
    </row>
    <row r="38" customFormat="false" ht="15" hidden="false" customHeight="false" outlineLevel="0" collapsed="false">
      <c r="A38" s="8" t="n">
        <v>45328</v>
      </c>
      <c r="B38" s="3" t="n">
        <v>19131</v>
      </c>
      <c r="C38" s="3" t="n">
        <v>1921</v>
      </c>
      <c r="D38" s="3" t="n">
        <v>173</v>
      </c>
      <c r="E38" s="3" t="n">
        <v>14</v>
      </c>
      <c r="F38" s="4" t="n">
        <v>38.48</v>
      </c>
      <c r="G38" s="3" t="n">
        <v>1</v>
      </c>
      <c r="H38" s="3" t="n">
        <v>159</v>
      </c>
    </row>
    <row r="39" customFormat="false" ht="15" hidden="false" customHeight="false" outlineLevel="0" collapsed="false">
      <c r="A39" s="8" t="n">
        <v>45329</v>
      </c>
      <c r="B39" s="3" t="n">
        <v>17603</v>
      </c>
      <c r="C39" s="3" t="n">
        <v>1684</v>
      </c>
      <c r="D39" s="3" t="n">
        <v>248</v>
      </c>
      <c r="E39" s="3" t="n">
        <v>22</v>
      </c>
      <c r="F39" s="4" t="n">
        <v>35.26</v>
      </c>
      <c r="G39" s="3" t="n">
        <v>0</v>
      </c>
      <c r="H39" s="3" t="n">
        <v>226</v>
      </c>
    </row>
    <row r="40" customFormat="false" ht="15" hidden="false" customHeight="false" outlineLevel="0" collapsed="false">
      <c r="A40" s="8" t="n">
        <v>45330</v>
      </c>
      <c r="B40" s="3" t="n">
        <v>17705</v>
      </c>
      <c r="C40" s="3" t="n">
        <v>1757</v>
      </c>
      <c r="D40" s="3" t="n">
        <v>251</v>
      </c>
      <c r="E40" s="3" t="n">
        <v>15</v>
      </c>
      <c r="F40" s="4" t="n">
        <v>41.47</v>
      </c>
      <c r="G40" s="3" t="n">
        <v>1</v>
      </c>
      <c r="H40" s="3" t="n">
        <v>236</v>
      </c>
    </row>
    <row r="41" customFormat="false" ht="15" hidden="false" customHeight="false" outlineLevel="0" collapsed="false">
      <c r="A41" s="8" t="n">
        <v>45331</v>
      </c>
      <c r="B41" s="3" t="n">
        <v>21216</v>
      </c>
      <c r="C41" s="3" t="n">
        <v>2041</v>
      </c>
      <c r="D41" s="3" t="n">
        <v>285</v>
      </c>
      <c r="E41" s="3" t="n">
        <v>15</v>
      </c>
      <c r="F41" s="4" t="n">
        <v>45.92</v>
      </c>
      <c r="G41" s="3" t="n">
        <v>0</v>
      </c>
      <c r="H41" s="3" t="n">
        <v>270</v>
      </c>
    </row>
    <row r="42" customFormat="false" ht="15" hidden="false" customHeight="false" outlineLevel="0" collapsed="false">
      <c r="A42" s="8" t="n">
        <v>45332</v>
      </c>
      <c r="B42" s="3" t="n">
        <v>24766</v>
      </c>
      <c r="C42" s="3" t="n">
        <v>2396</v>
      </c>
      <c r="D42" s="3" t="n">
        <v>282</v>
      </c>
      <c r="E42" s="3" t="n">
        <v>15</v>
      </c>
      <c r="F42" s="4" t="n">
        <v>51.36</v>
      </c>
      <c r="G42" s="3" t="n">
        <v>2</v>
      </c>
      <c r="H42" s="3" t="n">
        <v>267</v>
      </c>
    </row>
    <row r="43" customFormat="false" ht="15" hidden="false" customHeight="false" outlineLevel="0" collapsed="false">
      <c r="A43" s="8" t="n">
        <v>45333</v>
      </c>
      <c r="B43" s="3" t="n">
        <v>24272</v>
      </c>
      <c r="C43" s="3" t="n">
        <v>2438</v>
      </c>
      <c r="D43" s="3" t="n">
        <v>326</v>
      </c>
      <c r="E43" s="3" t="n">
        <v>15</v>
      </c>
      <c r="F43" s="4" t="n">
        <v>53.31</v>
      </c>
      <c r="G43" s="3" t="n">
        <v>1</v>
      </c>
      <c r="H43" s="3" t="n">
        <v>311</v>
      </c>
    </row>
    <row r="44" customFormat="false" ht="15" hidden="false" customHeight="false" outlineLevel="0" collapsed="false">
      <c r="A44" s="8" t="n">
        <v>45334</v>
      </c>
      <c r="B44" s="3" t="n">
        <v>18326</v>
      </c>
      <c r="C44" s="3" t="n">
        <v>1640</v>
      </c>
      <c r="D44" s="3" t="n">
        <v>201</v>
      </c>
      <c r="E44" s="3" t="n">
        <v>25</v>
      </c>
      <c r="F44" s="4" t="n">
        <v>32.7</v>
      </c>
      <c r="G44" s="3" t="n">
        <v>0</v>
      </c>
      <c r="H44" s="3" t="n">
        <v>176</v>
      </c>
    </row>
    <row r="45" customFormat="false" ht="15" hidden="false" customHeight="false" outlineLevel="0" collapsed="false">
      <c r="A45" s="8" t="n">
        <v>45335</v>
      </c>
      <c r="B45" s="3" t="n">
        <v>20489</v>
      </c>
      <c r="C45" s="3" t="n">
        <v>1889</v>
      </c>
      <c r="D45" s="3" t="n">
        <v>231</v>
      </c>
      <c r="E45" s="3" t="n">
        <v>8</v>
      </c>
      <c r="F45" s="4" t="n">
        <v>43.15</v>
      </c>
      <c r="G45" s="3" t="n">
        <v>1</v>
      </c>
      <c r="H45" s="3" t="n">
        <v>223</v>
      </c>
    </row>
    <row r="46" customFormat="false" ht="15" hidden="false" customHeight="false" outlineLevel="0" collapsed="false">
      <c r="A46" s="8" t="n">
        <v>45336</v>
      </c>
      <c r="B46" s="3" t="n">
        <v>20284</v>
      </c>
      <c r="C46" s="3" t="n">
        <v>1855</v>
      </c>
      <c r="D46" s="3" t="n">
        <v>189</v>
      </c>
      <c r="E46" s="3" t="n">
        <v>8</v>
      </c>
      <c r="F46" s="4" t="n">
        <v>50.32</v>
      </c>
      <c r="G46" s="3" t="n">
        <v>1</v>
      </c>
      <c r="H46" s="3" t="n">
        <v>181</v>
      </c>
    </row>
    <row r="47" customFormat="false" ht="15" hidden="false" customHeight="false" outlineLevel="0" collapsed="false">
      <c r="A47" s="8" t="n">
        <v>45337</v>
      </c>
      <c r="B47" s="3" t="n">
        <v>20611</v>
      </c>
      <c r="C47" s="3" t="n">
        <v>1817</v>
      </c>
      <c r="D47" s="3" t="n">
        <v>240</v>
      </c>
      <c r="E47" s="3" t="n">
        <v>13</v>
      </c>
      <c r="F47" s="4" t="n">
        <v>44.07</v>
      </c>
      <c r="G47" s="3" t="n">
        <v>0</v>
      </c>
      <c r="H47" s="3" t="n">
        <v>227</v>
      </c>
    </row>
    <row r="48" customFormat="false" ht="15" hidden="false" customHeight="false" outlineLevel="0" collapsed="false">
      <c r="A48" s="8" t="n">
        <v>45338</v>
      </c>
      <c r="B48" s="3" t="n">
        <v>22375</v>
      </c>
      <c r="C48" s="3" t="n">
        <v>2116</v>
      </c>
      <c r="D48" s="3" t="n">
        <v>247</v>
      </c>
      <c r="E48" s="3" t="n">
        <v>15</v>
      </c>
      <c r="F48" s="4" t="n">
        <v>47.62</v>
      </c>
      <c r="G48" s="3" t="n">
        <v>0</v>
      </c>
      <c r="H48" s="3" t="n">
        <v>232</v>
      </c>
    </row>
    <row r="49" customFormat="false" ht="15" hidden="false" customHeight="false" outlineLevel="0" collapsed="false">
      <c r="A49" s="8" t="n">
        <v>45339</v>
      </c>
      <c r="B49" s="3" t="n">
        <v>23896</v>
      </c>
      <c r="C49" s="3" t="n">
        <v>2393</v>
      </c>
      <c r="D49" s="3" t="n">
        <v>215</v>
      </c>
      <c r="E49" s="3" t="n">
        <v>19</v>
      </c>
      <c r="F49" s="4" t="n">
        <v>52.88</v>
      </c>
      <c r="G49" s="3" t="n">
        <v>0</v>
      </c>
      <c r="H49" s="3" t="n">
        <v>196</v>
      </c>
    </row>
    <row r="50" customFormat="false" ht="15" hidden="false" customHeight="false" outlineLevel="0" collapsed="false">
      <c r="A50" s="8" t="n">
        <v>45340</v>
      </c>
      <c r="B50" s="3" t="n">
        <v>25333</v>
      </c>
      <c r="C50" s="3" t="n">
        <v>2435</v>
      </c>
      <c r="D50" s="3" t="n">
        <v>275</v>
      </c>
      <c r="E50" s="3" t="n">
        <v>18</v>
      </c>
      <c r="F50" s="4" t="n">
        <v>57.68</v>
      </c>
      <c r="G50" s="3" t="n">
        <v>0</v>
      </c>
      <c r="H50" s="3" t="n">
        <v>257</v>
      </c>
    </row>
    <row r="51" customFormat="false" ht="15" hidden="false" customHeight="false" outlineLevel="0" collapsed="false">
      <c r="A51" s="8" t="n">
        <v>45341</v>
      </c>
      <c r="B51" s="3" t="n">
        <v>20547</v>
      </c>
      <c r="C51" s="3" t="n">
        <v>2013</v>
      </c>
      <c r="D51" s="3" t="n">
        <v>222</v>
      </c>
      <c r="E51" s="3" t="n">
        <v>14</v>
      </c>
      <c r="F51" s="4" t="n">
        <v>37.14</v>
      </c>
      <c r="G51" s="3" t="n">
        <v>0</v>
      </c>
      <c r="H51" s="3" t="n">
        <v>208</v>
      </c>
    </row>
    <row r="52" customFormat="false" ht="15" hidden="false" customHeight="false" outlineLevel="0" collapsed="false">
      <c r="A52" s="8" t="n">
        <v>45342</v>
      </c>
      <c r="B52" s="3" t="n">
        <v>21179</v>
      </c>
      <c r="C52" s="3" t="n">
        <v>2149</v>
      </c>
      <c r="D52" s="3" t="n">
        <v>304</v>
      </c>
      <c r="E52" s="3" t="n">
        <v>21</v>
      </c>
      <c r="F52" s="4" t="n">
        <v>39.28</v>
      </c>
      <c r="G52" s="3" t="n">
        <v>1</v>
      </c>
      <c r="H52" s="3" t="n">
        <v>283</v>
      </c>
    </row>
    <row r="53" customFormat="false" ht="15" hidden="false" customHeight="false" outlineLevel="0" collapsed="false">
      <c r="A53" s="8" t="n">
        <v>45343</v>
      </c>
      <c r="B53" s="3" t="n">
        <v>22149</v>
      </c>
      <c r="C53" s="3" t="n">
        <v>2268</v>
      </c>
      <c r="D53" s="3" t="n">
        <v>277</v>
      </c>
      <c r="E53" s="3" t="n">
        <v>21</v>
      </c>
      <c r="F53" s="4" t="n">
        <v>47.82</v>
      </c>
      <c r="G53" s="3" t="n">
        <v>0</v>
      </c>
      <c r="H53" s="3" t="n">
        <v>256</v>
      </c>
    </row>
    <row r="54" customFormat="false" ht="15" hidden="false" customHeight="false" outlineLevel="0" collapsed="false">
      <c r="A54" s="8" t="n">
        <v>45344</v>
      </c>
      <c r="B54" s="3" t="n">
        <v>17303</v>
      </c>
      <c r="C54" s="3" t="n">
        <v>1677</v>
      </c>
      <c r="D54" s="3" t="n">
        <v>190</v>
      </c>
      <c r="E54" s="3" t="n">
        <v>17</v>
      </c>
      <c r="F54" s="4" t="n">
        <v>34.72</v>
      </c>
      <c r="G54" s="3" t="n">
        <v>1</v>
      </c>
      <c r="H54" s="3" t="n">
        <v>173</v>
      </c>
    </row>
    <row r="55" customFormat="false" ht="15" hidden="false" customHeight="false" outlineLevel="0" collapsed="false">
      <c r="A55" s="8" t="n">
        <v>45345</v>
      </c>
      <c r="B55" s="3" t="n">
        <v>19906</v>
      </c>
      <c r="C55" s="3" t="n">
        <v>2040</v>
      </c>
      <c r="D55" s="3" t="n">
        <v>226</v>
      </c>
      <c r="E55" s="3" t="n">
        <v>21</v>
      </c>
      <c r="F55" s="3" t="n">
        <v>47</v>
      </c>
      <c r="G55" s="3" t="n">
        <v>0</v>
      </c>
      <c r="H55" s="3" t="n">
        <v>205</v>
      </c>
    </row>
    <row r="56" customFormat="false" ht="15" hidden="false" customHeight="false" outlineLevel="0" collapsed="false">
      <c r="A56" s="8" t="n">
        <v>45346</v>
      </c>
      <c r="B56" s="3" t="n">
        <v>22564</v>
      </c>
      <c r="C56" s="3" t="n">
        <v>2202</v>
      </c>
      <c r="D56" s="3" t="n">
        <v>249</v>
      </c>
      <c r="E56" s="3" t="n">
        <v>17</v>
      </c>
      <c r="F56" s="4" t="n">
        <v>46.8</v>
      </c>
      <c r="G56" s="3" t="n">
        <v>1</v>
      </c>
      <c r="H56" s="3" t="n">
        <v>232</v>
      </c>
    </row>
    <row r="57" customFormat="false" ht="15" hidden="false" customHeight="false" outlineLevel="0" collapsed="false">
      <c r="A57" s="8" t="n">
        <v>45347</v>
      </c>
      <c r="B57" s="3" t="n">
        <v>22193</v>
      </c>
      <c r="C57" s="3" t="n">
        <v>2085</v>
      </c>
      <c r="D57" s="3" t="n">
        <v>236</v>
      </c>
      <c r="E57" s="3" t="n">
        <v>13</v>
      </c>
      <c r="F57" s="4" t="n">
        <v>40.46</v>
      </c>
      <c r="G57" s="3" t="n">
        <v>1</v>
      </c>
      <c r="H57" s="3" t="n">
        <v>223</v>
      </c>
    </row>
    <row r="58" customFormat="false" ht="15" hidden="false" customHeight="false" outlineLevel="0" collapsed="false">
      <c r="A58" s="8" t="n">
        <v>45348</v>
      </c>
      <c r="B58" s="3" t="n">
        <v>20233</v>
      </c>
      <c r="C58" s="3" t="n">
        <v>1920</v>
      </c>
      <c r="D58" s="3" t="n">
        <v>188</v>
      </c>
      <c r="E58" s="3" t="n">
        <v>20</v>
      </c>
      <c r="F58" s="4" t="n">
        <v>38.93</v>
      </c>
      <c r="G58" s="3" t="n">
        <v>0</v>
      </c>
      <c r="H58" s="3" t="n">
        <v>168</v>
      </c>
    </row>
    <row r="59" customFormat="false" ht="15" hidden="false" customHeight="false" outlineLevel="0" collapsed="false">
      <c r="A59" s="8" t="n">
        <v>45349</v>
      </c>
      <c r="B59" s="3" t="n">
        <v>25112</v>
      </c>
      <c r="C59" s="3" t="n">
        <v>2297</v>
      </c>
      <c r="D59" s="3" t="n">
        <v>269</v>
      </c>
      <c r="E59" s="3" t="n">
        <v>17</v>
      </c>
      <c r="F59" s="4" t="n">
        <v>42.94</v>
      </c>
      <c r="G59" s="3" t="n">
        <v>1</v>
      </c>
      <c r="H59" s="3" t="n">
        <v>252</v>
      </c>
    </row>
    <row r="60" customFormat="false" ht="15" hidden="false" customHeight="false" outlineLevel="0" collapsed="false">
      <c r="A60" s="8" t="n">
        <v>45350</v>
      </c>
      <c r="B60" s="3" t="n">
        <v>18985</v>
      </c>
      <c r="C60" s="3" t="n">
        <v>1780</v>
      </c>
      <c r="D60" s="3" t="n">
        <v>186</v>
      </c>
      <c r="E60" s="3" t="n">
        <v>16</v>
      </c>
      <c r="F60" s="4" t="n">
        <v>39.72</v>
      </c>
      <c r="G60" s="3" t="n">
        <v>1</v>
      </c>
      <c r="H60" s="3" t="n">
        <v>170</v>
      </c>
    </row>
    <row r="61" customFormat="false" ht="15" hidden="false" customHeight="false" outlineLevel="0" collapsed="false">
      <c r="A61" s="8" t="n">
        <v>45351</v>
      </c>
      <c r="B61" s="3" t="n">
        <v>23744</v>
      </c>
      <c r="C61" s="3" t="n">
        <v>2275</v>
      </c>
      <c r="D61" s="3" t="n">
        <v>216</v>
      </c>
      <c r="E61" s="3" t="n">
        <v>25</v>
      </c>
      <c r="F61" s="4" t="n">
        <v>49.89</v>
      </c>
      <c r="G61" s="3" t="n">
        <v>1</v>
      </c>
      <c r="H61" s="3" t="n">
        <v>191</v>
      </c>
    </row>
    <row r="62" customFormat="false" ht="15" hidden="false" customHeight="false" outlineLevel="0" collapsed="false">
      <c r="A62" s="8" t="n">
        <v>45352</v>
      </c>
      <c r="B62" s="3" t="n">
        <v>38140</v>
      </c>
      <c r="C62" s="3" t="n">
        <v>3827</v>
      </c>
      <c r="D62" s="3" t="n">
        <v>451</v>
      </c>
      <c r="E62" s="3" t="n">
        <v>8</v>
      </c>
      <c r="F62" s="4" t="n">
        <v>78.69</v>
      </c>
      <c r="G62" s="3" t="n">
        <v>0</v>
      </c>
      <c r="H62" s="3" t="n">
        <v>443</v>
      </c>
    </row>
    <row r="63" customFormat="false" ht="15" hidden="false" customHeight="false" outlineLevel="0" collapsed="false">
      <c r="A63" s="8" t="n">
        <v>45353</v>
      </c>
      <c r="B63" s="3" t="n">
        <v>46571</v>
      </c>
      <c r="C63" s="3" t="n">
        <v>4839</v>
      </c>
      <c r="D63" s="3" t="n">
        <v>541</v>
      </c>
      <c r="E63" s="3" t="n">
        <v>11</v>
      </c>
      <c r="F63" s="4" t="n">
        <v>108.43</v>
      </c>
      <c r="G63" s="3" t="n">
        <v>0</v>
      </c>
      <c r="H63" s="3" t="n">
        <v>530</v>
      </c>
    </row>
    <row r="64" customFormat="false" ht="15" hidden="false" customHeight="false" outlineLevel="0" collapsed="false">
      <c r="A64" s="8" t="n">
        <v>45354</v>
      </c>
      <c r="B64" s="3" t="n">
        <v>44101</v>
      </c>
      <c r="C64" s="3" t="n">
        <v>4050</v>
      </c>
      <c r="D64" s="3" t="n">
        <v>370</v>
      </c>
      <c r="E64" s="3" t="n">
        <v>11</v>
      </c>
      <c r="F64" s="4" t="n">
        <v>103.72</v>
      </c>
      <c r="G64" s="3" t="n">
        <v>1</v>
      </c>
      <c r="H64" s="3" t="n">
        <v>359</v>
      </c>
    </row>
    <row r="65" customFormat="false" ht="15" hidden="false" customHeight="false" outlineLevel="0" collapsed="false">
      <c r="A65" s="8" t="n">
        <v>45355</v>
      </c>
      <c r="B65" s="3" t="n">
        <v>35429</v>
      </c>
      <c r="C65" s="3" t="n">
        <v>3498</v>
      </c>
      <c r="D65" s="3" t="n">
        <v>381</v>
      </c>
      <c r="E65" s="3" t="n">
        <v>15</v>
      </c>
      <c r="F65" s="4" t="n">
        <v>74.73</v>
      </c>
      <c r="G65" s="3" t="n">
        <v>1</v>
      </c>
      <c r="H65" s="3" t="n">
        <v>366</v>
      </c>
    </row>
    <row r="66" customFormat="false" ht="15" hidden="false" customHeight="false" outlineLevel="0" collapsed="false">
      <c r="A66" s="8" t="n">
        <v>45356</v>
      </c>
      <c r="B66" s="3" t="n">
        <v>30936</v>
      </c>
      <c r="C66" s="3" t="n">
        <v>2882</v>
      </c>
      <c r="D66" s="3" t="n">
        <v>394</v>
      </c>
      <c r="E66" s="3" t="n">
        <v>15</v>
      </c>
      <c r="F66" s="4" t="n">
        <v>55.79</v>
      </c>
      <c r="G66" s="3" t="n">
        <v>0</v>
      </c>
      <c r="H66" s="3" t="n">
        <v>379</v>
      </c>
    </row>
    <row r="67" customFormat="false" ht="15" hidden="false" customHeight="false" outlineLevel="0" collapsed="false">
      <c r="A67" s="8" t="n">
        <v>45357</v>
      </c>
      <c r="B67" s="3" t="n">
        <v>26127</v>
      </c>
      <c r="C67" s="3" t="n">
        <v>2588</v>
      </c>
      <c r="D67" s="3" t="n">
        <v>336</v>
      </c>
      <c r="E67" s="3" t="n">
        <v>10</v>
      </c>
      <c r="F67" s="4" t="n">
        <v>58.76</v>
      </c>
      <c r="G67" s="3" t="n">
        <v>1</v>
      </c>
      <c r="H67" s="3" t="n">
        <v>326</v>
      </c>
    </row>
    <row r="68" customFormat="false" ht="15" hidden="false" customHeight="false" outlineLevel="0" collapsed="false">
      <c r="A68" s="8" t="n">
        <v>45358</v>
      </c>
      <c r="B68" s="3" t="n">
        <v>20783</v>
      </c>
      <c r="C68" s="3" t="n">
        <v>2010</v>
      </c>
      <c r="D68" s="3" t="n">
        <v>266</v>
      </c>
      <c r="E68" s="3" t="n">
        <v>12</v>
      </c>
      <c r="F68" s="4" t="n">
        <v>46.54</v>
      </c>
      <c r="G68" s="3" t="n">
        <v>0</v>
      </c>
      <c r="H68" s="3" t="n">
        <v>254</v>
      </c>
    </row>
    <row r="69" customFormat="false" ht="15" hidden="false" customHeight="false" outlineLevel="0" collapsed="false">
      <c r="A69" s="8" t="n">
        <v>45359</v>
      </c>
      <c r="B69" s="3" t="n">
        <v>20573</v>
      </c>
      <c r="C69" s="3" t="n">
        <v>1854</v>
      </c>
      <c r="D69" s="3" t="n">
        <v>227</v>
      </c>
      <c r="E69" s="3" t="n">
        <v>13</v>
      </c>
      <c r="F69" s="4" t="n">
        <v>45.2</v>
      </c>
      <c r="G69" s="3" t="n">
        <v>0</v>
      </c>
      <c r="H69" s="3" t="n">
        <v>214</v>
      </c>
    </row>
    <row r="70" customFormat="false" ht="15" hidden="false" customHeight="false" outlineLevel="0" collapsed="false">
      <c r="A70" s="8" t="n">
        <v>45360</v>
      </c>
      <c r="B70" s="3" t="n">
        <v>27818</v>
      </c>
      <c r="C70" s="3" t="n">
        <v>2805</v>
      </c>
      <c r="D70" s="3" t="n">
        <v>268</v>
      </c>
      <c r="E70" s="3" t="n">
        <v>35</v>
      </c>
      <c r="F70" s="4" t="n">
        <v>64.53</v>
      </c>
      <c r="G70" s="3" t="n">
        <v>1</v>
      </c>
      <c r="H70" s="3" t="n">
        <v>233</v>
      </c>
    </row>
    <row r="71" customFormat="false" ht="15" hidden="false" customHeight="false" outlineLevel="0" collapsed="false">
      <c r="A71" s="8" t="n">
        <v>45361</v>
      </c>
      <c r="B71" s="3" t="n">
        <v>24612</v>
      </c>
      <c r="C71" s="3" t="n">
        <v>2335</v>
      </c>
      <c r="D71" s="3" t="n">
        <v>229</v>
      </c>
      <c r="E71" s="3" t="n">
        <v>29</v>
      </c>
      <c r="F71" s="4" t="n">
        <v>48.11</v>
      </c>
      <c r="G71" s="3" t="n">
        <v>1</v>
      </c>
      <c r="H71" s="3" t="n">
        <v>200</v>
      </c>
    </row>
    <row r="72" customFormat="false" ht="15" hidden="false" customHeight="false" outlineLevel="0" collapsed="false">
      <c r="A72" s="8" t="n">
        <v>45362</v>
      </c>
      <c r="B72" s="3" t="n">
        <v>18855</v>
      </c>
      <c r="C72" s="3" t="n">
        <v>1794</v>
      </c>
      <c r="D72" s="3" t="n">
        <v>218</v>
      </c>
      <c r="E72" s="3" t="n">
        <v>15</v>
      </c>
      <c r="F72" s="4" t="n">
        <v>47.54</v>
      </c>
      <c r="G72" s="3" t="n">
        <v>0</v>
      </c>
      <c r="H72" s="3" t="n">
        <v>203</v>
      </c>
    </row>
    <row r="73" customFormat="false" ht="15" hidden="false" customHeight="false" outlineLevel="0" collapsed="false">
      <c r="A73" s="8" t="n">
        <v>45363</v>
      </c>
      <c r="B73" s="3" t="n">
        <v>19247</v>
      </c>
      <c r="C73" s="3" t="n">
        <v>1791</v>
      </c>
      <c r="D73" s="3" t="n">
        <v>223</v>
      </c>
      <c r="E73" s="3" t="n">
        <v>15</v>
      </c>
      <c r="F73" s="4" t="n">
        <v>38.29</v>
      </c>
      <c r="G73" s="3" t="n">
        <v>0</v>
      </c>
      <c r="H73" s="3" t="n">
        <v>208</v>
      </c>
    </row>
    <row r="74" customFormat="false" ht="15" hidden="false" customHeight="false" outlineLevel="0" collapsed="false">
      <c r="A74" s="8" t="n">
        <v>45364</v>
      </c>
      <c r="B74" s="3" t="n">
        <v>19815</v>
      </c>
      <c r="C74" s="3" t="n">
        <v>1876</v>
      </c>
      <c r="D74" s="3" t="n">
        <v>263</v>
      </c>
      <c r="E74" s="3" t="n">
        <v>12</v>
      </c>
      <c r="F74" s="4" t="n">
        <v>45.22</v>
      </c>
      <c r="G74" s="3" t="n">
        <v>0</v>
      </c>
      <c r="H74" s="3" t="n">
        <v>251</v>
      </c>
    </row>
    <row r="75" customFormat="false" ht="15" hidden="false" customHeight="false" outlineLevel="0" collapsed="false">
      <c r="A75" s="8" t="n">
        <v>45365</v>
      </c>
      <c r="B75" s="3" t="n">
        <v>23567</v>
      </c>
      <c r="C75" s="3" t="n">
        <v>2330</v>
      </c>
      <c r="D75" s="3" t="n">
        <v>305</v>
      </c>
      <c r="E75" s="3" t="n">
        <v>10</v>
      </c>
      <c r="F75" s="4" t="n">
        <v>44.28</v>
      </c>
      <c r="G75" s="3" t="n">
        <v>0</v>
      </c>
      <c r="H75" s="3" t="n">
        <v>295</v>
      </c>
    </row>
    <row r="76" customFormat="false" ht="15" hidden="false" customHeight="false" outlineLevel="0" collapsed="false">
      <c r="A76" s="8" t="n">
        <v>45366</v>
      </c>
      <c r="B76" s="3" t="n">
        <v>22662</v>
      </c>
      <c r="C76" s="3" t="n">
        <v>2186</v>
      </c>
      <c r="D76" s="3" t="n">
        <v>243</v>
      </c>
      <c r="E76" s="3" t="n">
        <v>16</v>
      </c>
      <c r="F76" s="4" t="n">
        <v>45.27</v>
      </c>
      <c r="G76" s="3" t="n">
        <v>1</v>
      </c>
      <c r="H76" s="3" t="n">
        <v>227</v>
      </c>
    </row>
    <row r="77" customFormat="false" ht="15" hidden="false" customHeight="false" outlineLevel="0" collapsed="false">
      <c r="A77" s="8" t="n">
        <v>45367</v>
      </c>
      <c r="B77" s="3" t="n">
        <v>27928</v>
      </c>
      <c r="C77" s="3" t="n">
        <v>2751</v>
      </c>
      <c r="D77" s="3" t="n">
        <v>254</v>
      </c>
      <c r="E77" s="3" t="n">
        <v>13</v>
      </c>
      <c r="F77" s="4" t="n">
        <v>67.89</v>
      </c>
      <c r="G77" s="3" t="n">
        <v>1</v>
      </c>
      <c r="H77" s="3" t="n">
        <v>241</v>
      </c>
    </row>
    <row r="78" customFormat="false" ht="15" hidden="false" customHeight="false" outlineLevel="0" collapsed="false">
      <c r="A78" s="8" t="n">
        <v>45368</v>
      </c>
      <c r="B78" s="3" t="n">
        <v>24505</v>
      </c>
      <c r="C78" s="3" t="n">
        <v>2417</v>
      </c>
      <c r="D78" s="3" t="n">
        <v>256</v>
      </c>
      <c r="E78" s="3" t="n">
        <v>17</v>
      </c>
      <c r="F78" s="4" t="n">
        <v>51.7</v>
      </c>
      <c r="G78" s="3" t="n">
        <v>1</v>
      </c>
      <c r="H78" s="3" t="n">
        <v>239</v>
      </c>
    </row>
    <row r="79" customFormat="false" ht="15" hidden="false" customHeight="false" outlineLevel="0" collapsed="false">
      <c r="A79" s="8" t="n">
        <v>45369</v>
      </c>
      <c r="B79" s="3" t="n">
        <v>22938</v>
      </c>
      <c r="C79" s="3" t="n">
        <v>2348</v>
      </c>
      <c r="D79" s="3" t="n">
        <v>260</v>
      </c>
      <c r="E79" s="3" t="n">
        <v>11</v>
      </c>
      <c r="F79" s="4" t="n">
        <v>52.88</v>
      </c>
      <c r="G79" s="3" t="n">
        <v>0</v>
      </c>
      <c r="H79" s="3" t="n">
        <v>249</v>
      </c>
    </row>
    <row r="80" customFormat="false" ht="15" hidden="false" customHeight="false" outlineLevel="0" collapsed="false">
      <c r="A80" s="8" t="n">
        <v>45370</v>
      </c>
      <c r="B80" s="3" t="n">
        <v>24342</v>
      </c>
      <c r="C80" s="3" t="n">
        <v>2334</v>
      </c>
      <c r="D80" s="3" t="n">
        <v>259</v>
      </c>
      <c r="E80" s="3" t="n">
        <v>14</v>
      </c>
      <c r="F80" s="4" t="n">
        <v>53.51</v>
      </c>
      <c r="G80" s="3" t="n">
        <v>0</v>
      </c>
      <c r="H80" s="3" t="n">
        <v>245</v>
      </c>
    </row>
    <row r="81" customFormat="false" ht="15" hidden="false" customHeight="false" outlineLevel="0" collapsed="false">
      <c r="A81" s="8" t="n">
        <v>45371</v>
      </c>
      <c r="B81" s="3" t="n">
        <v>21832</v>
      </c>
      <c r="C81" s="3" t="n">
        <v>1997</v>
      </c>
      <c r="D81" s="3" t="n">
        <v>219</v>
      </c>
      <c r="E81" s="3" t="n">
        <v>18</v>
      </c>
      <c r="F81" s="4" t="n">
        <v>46.72</v>
      </c>
      <c r="G81" s="3" t="n">
        <v>1</v>
      </c>
      <c r="H81" s="3" t="n">
        <v>201</v>
      </c>
    </row>
    <row r="82" customFormat="false" ht="15" hidden="false" customHeight="false" outlineLevel="0" collapsed="false">
      <c r="A82" s="8" t="n">
        <v>45372</v>
      </c>
      <c r="B82" s="3" t="n">
        <v>24014</v>
      </c>
      <c r="C82" s="3" t="n">
        <v>2434</v>
      </c>
      <c r="D82" s="3" t="n">
        <v>273</v>
      </c>
      <c r="E82" s="3" t="n">
        <v>19</v>
      </c>
      <c r="F82" s="4" t="n">
        <v>57.83</v>
      </c>
      <c r="G82" s="3" t="n">
        <v>1</v>
      </c>
      <c r="H82" s="3" t="n">
        <v>254</v>
      </c>
    </row>
    <row r="83" customFormat="false" ht="15" hidden="false" customHeight="false" outlineLevel="0" collapsed="false">
      <c r="A83" s="8" t="n">
        <v>45373</v>
      </c>
      <c r="B83" s="3" t="n">
        <v>21067</v>
      </c>
      <c r="C83" s="3" t="n">
        <v>2021</v>
      </c>
      <c r="D83" s="3" t="n">
        <v>214</v>
      </c>
      <c r="E83" s="3" t="n">
        <v>20</v>
      </c>
      <c r="F83" s="4" t="n">
        <v>44.66</v>
      </c>
      <c r="G83" s="3" t="n">
        <v>0</v>
      </c>
      <c r="H83" s="3" t="n">
        <v>194</v>
      </c>
    </row>
    <row r="84" customFormat="false" ht="15" hidden="false" customHeight="false" outlineLevel="0" collapsed="false">
      <c r="A84" s="8" t="n">
        <v>45374</v>
      </c>
      <c r="B84" s="3" t="n">
        <v>25196</v>
      </c>
      <c r="C84" s="3" t="n">
        <v>2559</v>
      </c>
      <c r="D84" s="3" t="n">
        <v>251</v>
      </c>
      <c r="E84" s="3" t="n">
        <v>12</v>
      </c>
      <c r="F84" s="4" t="n">
        <v>47.24</v>
      </c>
      <c r="G84" s="3" t="n">
        <v>0</v>
      </c>
      <c r="H84" s="3" t="n">
        <v>239</v>
      </c>
    </row>
    <row r="85" customFormat="false" ht="15" hidden="false" customHeight="false" outlineLevel="0" collapsed="false">
      <c r="A85" s="8" t="n">
        <v>45375</v>
      </c>
      <c r="B85" s="3" t="n">
        <v>25223</v>
      </c>
      <c r="C85" s="3" t="n">
        <v>2490</v>
      </c>
      <c r="D85" s="3" t="n">
        <v>290</v>
      </c>
      <c r="E85" s="3" t="n">
        <v>23</v>
      </c>
      <c r="F85" s="4" t="n">
        <v>51.17</v>
      </c>
      <c r="G85" s="3" t="n">
        <v>0</v>
      </c>
      <c r="H85" s="3" t="n">
        <v>267</v>
      </c>
    </row>
    <row r="86" customFormat="false" ht="15" hidden="false" customHeight="false" outlineLevel="0" collapsed="false">
      <c r="A86" s="8" t="n">
        <v>45376</v>
      </c>
      <c r="B86" s="3" t="n">
        <v>19957</v>
      </c>
      <c r="C86" s="3" t="n">
        <v>1930</v>
      </c>
      <c r="D86" s="3" t="n">
        <v>206</v>
      </c>
      <c r="E86" s="3" t="n">
        <v>14</v>
      </c>
      <c r="F86" s="4" t="n">
        <v>45.14</v>
      </c>
      <c r="G86" s="3" t="n">
        <v>1</v>
      </c>
      <c r="H86" s="3" t="n">
        <v>192</v>
      </c>
    </row>
    <row r="87" customFormat="false" ht="15" hidden="false" customHeight="false" outlineLevel="0" collapsed="false">
      <c r="A87" s="8" t="n">
        <v>45377</v>
      </c>
      <c r="B87" s="3" t="n">
        <v>24504</v>
      </c>
      <c r="C87" s="3" t="n">
        <v>2415</v>
      </c>
      <c r="D87" s="3" t="n">
        <v>278</v>
      </c>
      <c r="E87" s="3" t="n">
        <v>21</v>
      </c>
      <c r="F87" s="4" t="n">
        <v>54.77</v>
      </c>
      <c r="G87" s="3" t="n">
        <v>1</v>
      </c>
      <c r="H87" s="3" t="n">
        <v>257</v>
      </c>
    </row>
    <row r="88" customFormat="false" ht="15" hidden="false" customHeight="false" outlineLevel="0" collapsed="false">
      <c r="A88" s="8" t="n">
        <v>45378</v>
      </c>
      <c r="B88" s="3" t="n">
        <v>21918</v>
      </c>
      <c r="C88" s="3" t="n">
        <v>2297</v>
      </c>
      <c r="D88" s="3" t="n">
        <v>250</v>
      </c>
      <c r="E88" s="3" t="n">
        <v>18</v>
      </c>
      <c r="F88" s="4" t="n">
        <v>41.9</v>
      </c>
      <c r="G88" s="3" t="n">
        <v>1</v>
      </c>
      <c r="H88" s="3" t="n">
        <v>232</v>
      </c>
    </row>
    <row r="89" customFormat="false" ht="15" hidden="false" customHeight="false" outlineLevel="0" collapsed="false">
      <c r="A89" s="8" t="n">
        <v>45379</v>
      </c>
      <c r="B89" s="3" t="n">
        <v>23299</v>
      </c>
      <c r="C89" s="3" t="n">
        <v>2453</v>
      </c>
      <c r="D89" s="3" t="n">
        <v>215</v>
      </c>
      <c r="E89" s="3" t="n">
        <v>12</v>
      </c>
      <c r="F89" s="4" t="n">
        <v>47.67</v>
      </c>
      <c r="G89" s="3" t="n">
        <v>1</v>
      </c>
      <c r="H89" s="3" t="n">
        <v>203</v>
      </c>
    </row>
    <row r="90" customFormat="false" ht="15" hidden="false" customHeight="false" outlineLevel="0" collapsed="false">
      <c r="A90" s="8" t="n">
        <v>45380</v>
      </c>
      <c r="B90" s="3" t="n">
        <v>24726</v>
      </c>
      <c r="C90" s="3" t="n">
        <v>2410</v>
      </c>
      <c r="D90" s="3" t="n">
        <v>252</v>
      </c>
      <c r="E90" s="3" t="n">
        <v>16</v>
      </c>
      <c r="F90" s="4" t="n">
        <v>51.2</v>
      </c>
      <c r="G90" s="3" t="n">
        <v>0</v>
      </c>
      <c r="H90" s="3" t="n">
        <v>236</v>
      </c>
    </row>
    <row r="91" customFormat="false" ht="15" hidden="false" customHeight="false" outlineLevel="0" collapsed="false">
      <c r="A91" s="8" t="n">
        <v>45381</v>
      </c>
      <c r="B91" s="3" t="n">
        <v>28411</v>
      </c>
      <c r="C91" s="3" t="n">
        <v>2780</v>
      </c>
      <c r="D91" s="3" t="n">
        <v>386</v>
      </c>
      <c r="E91" s="3" t="n">
        <v>20</v>
      </c>
      <c r="F91" s="4" t="n">
        <v>59.89</v>
      </c>
      <c r="G91" s="3" t="n">
        <v>0</v>
      </c>
      <c r="H91" s="3" t="n">
        <v>366</v>
      </c>
    </row>
    <row r="92" customFormat="false" ht="15" hidden="false" customHeight="false" outlineLevel="0" collapsed="false">
      <c r="A92" s="8" t="n">
        <v>45382</v>
      </c>
      <c r="B92" s="3" t="n">
        <v>29261</v>
      </c>
      <c r="C92" s="3" t="n">
        <v>2967</v>
      </c>
      <c r="D92" s="3" t="n">
        <v>269</v>
      </c>
      <c r="E92" s="3" t="n">
        <v>22</v>
      </c>
      <c r="F92" s="4" t="n">
        <v>56.93</v>
      </c>
      <c r="G92" s="3" t="n">
        <v>1</v>
      </c>
      <c r="H92" s="3" t="n">
        <v>247</v>
      </c>
    </row>
    <row r="93" customFormat="false" ht="15" hidden="false" customHeight="false" outlineLevel="0" collapsed="false">
      <c r="A93" s="8" t="n">
        <v>45383</v>
      </c>
      <c r="B93" s="3" t="n">
        <v>23291</v>
      </c>
      <c r="C93" s="3" t="n">
        <v>2188</v>
      </c>
      <c r="D93" s="3" t="n">
        <v>186</v>
      </c>
      <c r="E93" s="3" t="n">
        <v>17</v>
      </c>
      <c r="F93" s="4" t="n">
        <v>48.13</v>
      </c>
      <c r="G93" s="3" t="n">
        <v>0</v>
      </c>
      <c r="H93" s="3" t="n">
        <v>169</v>
      </c>
    </row>
    <row r="94" customFormat="false" ht="15" hidden="false" customHeight="false" outlineLevel="0" collapsed="false">
      <c r="A94" s="8" t="n">
        <v>45384</v>
      </c>
      <c r="B94" s="3" t="n">
        <v>22473</v>
      </c>
      <c r="C94" s="3" t="n">
        <v>2214</v>
      </c>
      <c r="D94" s="3" t="n">
        <v>186</v>
      </c>
      <c r="E94" s="3" t="n">
        <v>29</v>
      </c>
      <c r="F94" s="4" t="n">
        <v>46.1</v>
      </c>
      <c r="G94" s="3" t="n">
        <v>0</v>
      </c>
      <c r="H94" s="3" t="n">
        <v>157</v>
      </c>
    </row>
    <row r="95" customFormat="false" ht="15" hidden="false" customHeight="false" outlineLevel="0" collapsed="false">
      <c r="A95" s="8" t="n">
        <v>45385</v>
      </c>
      <c r="B95" s="3" t="n">
        <v>23494</v>
      </c>
      <c r="C95" s="3" t="n">
        <v>2282</v>
      </c>
      <c r="D95" s="3" t="n">
        <v>259</v>
      </c>
      <c r="E95" s="3" t="n">
        <v>24</v>
      </c>
      <c r="F95" s="4" t="n">
        <v>54.37</v>
      </c>
      <c r="G95" s="3" t="n">
        <v>0</v>
      </c>
      <c r="H95" s="3" t="n">
        <v>235</v>
      </c>
    </row>
    <row r="96" customFormat="false" ht="15" hidden="false" customHeight="false" outlineLevel="0" collapsed="false">
      <c r="A96" s="8" t="n">
        <v>45386</v>
      </c>
      <c r="B96" s="3" t="n">
        <v>19434</v>
      </c>
      <c r="C96" s="3" t="n">
        <v>1913</v>
      </c>
      <c r="D96" s="3" t="n">
        <v>214</v>
      </c>
      <c r="E96" s="3" t="n">
        <v>17</v>
      </c>
      <c r="F96" s="4" t="n">
        <v>45.14</v>
      </c>
      <c r="G96" s="3" t="n">
        <v>1</v>
      </c>
      <c r="H96" s="3" t="n">
        <v>197</v>
      </c>
    </row>
    <row r="97" customFormat="false" ht="15" hidden="false" customHeight="false" outlineLevel="0" collapsed="false">
      <c r="A97" s="8" t="n">
        <v>45387</v>
      </c>
      <c r="B97" s="3" t="n">
        <v>20066</v>
      </c>
      <c r="C97" s="3" t="n">
        <v>1886</v>
      </c>
      <c r="D97" s="3" t="n">
        <v>216</v>
      </c>
      <c r="E97" s="3" t="n">
        <v>23</v>
      </c>
      <c r="F97" s="4" t="n">
        <v>43.2</v>
      </c>
      <c r="G97" s="3" t="n">
        <v>1</v>
      </c>
      <c r="H97" s="3" t="n">
        <v>193</v>
      </c>
    </row>
    <row r="98" customFormat="false" ht="15" hidden="false" customHeight="false" outlineLevel="0" collapsed="false">
      <c r="A98" s="8" t="n">
        <v>45388</v>
      </c>
      <c r="B98" s="3" t="n">
        <v>23497</v>
      </c>
      <c r="C98" s="3" t="n">
        <v>2139</v>
      </c>
      <c r="D98" s="3" t="n">
        <v>309</v>
      </c>
      <c r="E98" s="3" t="n">
        <v>33</v>
      </c>
      <c r="F98" s="4" t="n">
        <v>49.63</v>
      </c>
      <c r="G98" s="3" t="n">
        <v>1</v>
      </c>
      <c r="H98" s="3" t="n">
        <v>276</v>
      </c>
    </row>
    <row r="99" customFormat="false" ht="15" hidden="false" customHeight="false" outlineLevel="0" collapsed="false">
      <c r="A99" s="8" t="n">
        <v>45389</v>
      </c>
      <c r="B99" s="3" t="n">
        <v>24511</v>
      </c>
      <c r="C99" s="3" t="n">
        <v>2185</v>
      </c>
      <c r="D99" s="3" t="n">
        <v>180</v>
      </c>
      <c r="E99" s="3" t="n">
        <v>33</v>
      </c>
      <c r="F99" s="4" t="n">
        <v>54.05</v>
      </c>
      <c r="G99" s="3" t="n">
        <v>1</v>
      </c>
      <c r="H99" s="3" t="n">
        <v>147</v>
      </c>
    </row>
    <row r="100" customFormat="false" ht="15" hidden="false" customHeight="false" outlineLevel="0" collapsed="false">
      <c r="A100" s="8" t="n">
        <v>45390</v>
      </c>
      <c r="B100" s="3" t="n">
        <v>25283</v>
      </c>
      <c r="C100" s="3" t="n">
        <v>2348</v>
      </c>
      <c r="D100" s="3" t="n">
        <v>294</v>
      </c>
      <c r="E100" s="3" t="n">
        <v>13</v>
      </c>
      <c r="F100" s="4" t="n">
        <v>51.68</v>
      </c>
      <c r="G100" s="3" t="n">
        <v>1</v>
      </c>
      <c r="H100" s="3" t="n">
        <v>281</v>
      </c>
    </row>
    <row r="101" customFormat="false" ht="15" hidden="false" customHeight="false" outlineLevel="0" collapsed="false">
      <c r="A101" s="8" t="n">
        <v>45391</v>
      </c>
      <c r="B101" s="3" t="n">
        <v>21686</v>
      </c>
      <c r="C101" s="3" t="n">
        <v>2070</v>
      </c>
      <c r="D101" s="3" t="n">
        <v>300</v>
      </c>
      <c r="E101" s="3" t="n">
        <v>14</v>
      </c>
      <c r="F101" s="4" t="n">
        <v>43.19</v>
      </c>
      <c r="G101" s="3" t="n">
        <v>0</v>
      </c>
      <c r="H101" s="3" t="n">
        <v>286</v>
      </c>
    </row>
    <row r="102" customFormat="false" ht="15" hidden="false" customHeight="false" outlineLevel="0" collapsed="false">
      <c r="A102" s="8" t="n">
        <v>45392</v>
      </c>
      <c r="B102" s="3" t="n">
        <v>23175</v>
      </c>
      <c r="C102" s="3" t="n">
        <v>2227</v>
      </c>
      <c r="D102" s="3" t="n">
        <v>214</v>
      </c>
      <c r="E102" s="3" t="n">
        <v>29</v>
      </c>
      <c r="F102" s="4" t="n">
        <v>46.96</v>
      </c>
      <c r="G102" s="3" t="n">
        <v>0</v>
      </c>
      <c r="H102" s="3" t="n">
        <v>185</v>
      </c>
    </row>
    <row r="103" customFormat="false" ht="15" hidden="false" customHeight="false" outlineLevel="0" collapsed="false">
      <c r="A103" s="8" t="n">
        <v>45393</v>
      </c>
      <c r="B103" s="3" t="n">
        <v>28431</v>
      </c>
      <c r="C103" s="3" t="n">
        <v>2978</v>
      </c>
      <c r="D103" s="3" t="n">
        <v>294</v>
      </c>
      <c r="E103" s="3" t="n">
        <v>13</v>
      </c>
      <c r="F103" s="4" t="n">
        <v>59.06</v>
      </c>
      <c r="G103" s="3" t="n">
        <v>1</v>
      </c>
      <c r="H103" s="3" t="n">
        <v>281</v>
      </c>
    </row>
    <row r="104" customFormat="false" ht="15" hidden="false" customHeight="false" outlineLevel="0" collapsed="false">
      <c r="A104" s="8" t="n">
        <v>45394</v>
      </c>
      <c r="B104" s="3" t="n">
        <v>23381</v>
      </c>
      <c r="C104" s="3" t="n">
        <v>2374</v>
      </c>
      <c r="D104" s="3" t="n">
        <v>229</v>
      </c>
      <c r="E104" s="3" t="n">
        <v>13</v>
      </c>
      <c r="F104" s="4" t="n">
        <v>46.59</v>
      </c>
      <c r="G104" s="3" t="n">
        <v>0</v>
      </c>
      <c r="H104" s="3" t="n">
        <v>216</v>
      </c>
    </row>
    <row r="105" customFormat="false" ht="15" hidden="false" customHeight="false" outlineLevel="0" collapsed="false">
      <c r="A105" s="8" t="n">
        <v>45395</v>
      </c>
      <c r="B105" s="3" t="n">
        <v>30755</v>
      </c>
      <c r="C105" s="3" t="n">
        <v>2875</v>
      </c>
      <c r="D105" s="3" t="n">
        <v>295</v>
      </c>
      <c r="E105" s="3" t="n">
        <v>16</v>
      </c>
      <c r="F105" s="4" t="n">
        <v>68.18</v>
      </c>
      <c r="G105" s="3" t="n">
        <v>0</v>
      </c>
      <c r="H105" s="3" t="n">
        <v>279</v>
      </c>
    </row>
    <row r="106" customFormat="false" ht="15" hidden="false" customHeight="false" outlineLevel="0" collapsed="false">
      <c r="A106" s="8" t="n">
        <v>45396</v>
      </c>
      <c r="B106" s="3" t="n">
        <v>25245</v>
      </c>
      <c r="C106" s="3" t="n">
        <v>2488</v>
      </c>
      <c r="D106" s="3" t="n">
        <v>263</v>
      </c>
      <c r="E106" s="3" t="n">
        <v>21</v>
      </c>
      <c r="F106" s="4" t="n">
        <v>58.59</v>
      </c>
      <c r="G106" s="3" t="n">
        <v>0</v>
      </c>
      <c r="H106" s="3" t="n">
        <v>242</v>
      </c>
    </row>
    <row r="107" customFormat="false" ht="15" hidden="false" customHeight="false" outlineLevel="0" collapsed="false">
      <c r="A107" s="8" t="n">
        <v>45397</v>
      </c>
      <c r="B107" s="3" t="n">
        <v>24030</v>
      </c>
      <c r="C107" s="3" t="n">
        <v>2298</v>
      </c>
      <c r="D107" s="3" t="n">
        <v>326</v>
      </c>
      <c r="E107" s="3" t="n">
        <v>18</v>
      </c>
      <c r="F107" s="4" t="n">
        <v>46.36</v>
      </c>
      <c r="G107" s="3" t="n">
        <v>1</v>
      </c>
      <c r="H107" s="3" t="n">
        <v>308</v>
      </c>
    </row>
    <row r="108" customFormat="false" ht="15" hidden="false" customHeight="false" outlineLevel="0" collapsed="false">
      <c r="A108" s="8" t="n">
        <v>45398</v>
      </c>
      <c r="B108" s="3" t="n">
        <v>22044</v>
      </c>
      <c r="C108" s="3" t="n">
        <v>2119</v>
      </c>
      <c r="D108" s="3" t="n">
        <v>318</v>
      </c>
      <c r="E108" s="3" t="n">
        <v>15</v>
      </c>
      <c r="F108" s="4" t="n">
        <v>48.42</v>
      </c>
      <c r="G108" s="3" t="n">
        <v>1</v>
      </c>
      <c r="H108" s="3" t="n">
        <v>303</v>
      </c>
    </row>
    <row r="109" customFormat="false" ht="15" hidden="false" customHeight="false" outlineLevel="0" collapsed="false">
      <c r="A109" s="8" t="n">
        <v>45399</v>
      </c>
      <c r="B109" s="3" t="n">
        <v>23794</v>
      </c>
      <c r="C109" s="3" t="n">
        <v>2330</v>
      </c>
      <c r="D109" s="3" t="n">
        <v>248</v>
      </c>
      <c r="E109" s="3" t="n">
        <v>15</v>
      </c>
      <c r="F109" s="4" t="n">
        <v>51.27</v>
      </c>
      <c r="G109" s="3" t="n">
        <v>0</v>
      </c>
      <c r="H109" s="3" t="n">
        <v>233</v>
      </c>
    </row>
    <row r="110" customFormat="false" ht="15" hidden="false" customHeight="false" outlineLevel="0" collapsed="false">
      <c r="A110" s="8" t="n">
        <v>45400</v>
      </c>
      <c r="B110" s="3" t="n">
        <v>27495</v>
      </c>
      <c r="C110" s="3" t="n">
        <v>2739</v>
      </c>
      <c r="D110" s="3" t="n">
        <v>401</v>
      </c>
      <c r="E110" s="3" t="n">
        <v>15</v>
      </c>
      <c r="F110" s="4" t="n">
        <v>62.01</v>
      </c>
      <c r="G110" s="3" t="n">
        <v>1</v>
      </c>
      <c r="H110" s="3" t="n">
        <v>386</v>
      </c>
    </row>
    <row r="111" customFormat="false" ht="15" hidden="false" customHeight="false" outlineLevel="0" collapsed="false">
      <c r="A111" s="8" t="n">
        <v>45401</v>
      </c>
      <c r="B111" s="3" t="n">
        <v>20266</v>
      </c>
      <c r="C111" s="3" t="n">
        <v>1943</v>
      </c>
      <c r="D111" s="3" t="n">
        <v>223</v>
      </c>
      <c r="E111" s="3" t="n">
        <v>15</v>
      </c>
      <c r="F111" s="4" t="n">
        <v>44.45</v>
      </c>
      <c r="G111" s="3" t="n">
        <v>1</v>
      </c>
      <c r="H111" s="3" t="n">
        <v>208</v>
      </c>
    </row>
    <row r="112" customFormat="false" ht="15" hidden="false" customHeight="false" outlineLevel="0" collapsed="false">
      <c r="A112" s="8" t="n">
        <v>45402</v>
      </c>
      <c r="B112" s="3" t="n">
        <v>30300</v>
      </c>
      <c r="C112" s="3" t="n">
        <v>3071</v>
      </c>
      <c r="D112" s="3" t="n">
        <v>432</v>
      </c>
      <c r="E112" s="3" t="n">
        <v>38</v>
      </c>
      <c r="F112" s="4" t="n">
        <v>59.26</v>
      </c>
      <c r="G112" s="3" t="n">
        <v>1</v>
      </c>
      <c r="H112" s="3" t="n">
        <v>394</v>
      </c>
    </row>
    <row r="113" customFormat="false" ht="15" hidden="false" customHeight="false" outlineLevel="0" collapsed="false">
      <c r="A113" s="8" t="n">
        <v>45403</v>
      </c>
      <c r="B113" s="3" t="n">
        <v>29683</v>
      </c>
      <c r="C113" s="3" t="n">
        <v>2754</v>
      </c>
      <c r="D113" s="3" t="n">
        <v>321</v>
      </c>
      <c r="E113" s="3" t="n">
        <v>21</v>
      </c>
      <c r="F113" s="4" t="n">
        <v>58.98</v>
      </c>
      <c r="G113" s="3" t="n">
        <v>1</v>
      </c>
      <c r="H113" s="3" t="n">
        <v>300</v>
      </c>
    </row>
    <row r="114" customFormat="false" ht="15" hidden="false" customHeight="false" outlineLevel="0" collapsed="false">
      <c r="A114" s="8" t="n">
        <v>45404</v>
      </c>
      <c r="B114" s="3" t="n">
        <v>23430</v>
      </c>
      <c r="C114" s="3" t="n">
        <v>2278</v>
      </c>
      <c r="D114" s="3" t="n">
        <v>262</v>
      </c>
      <c r="E114" s="3" t="n">
        <v>25</v>
      </c>
      <c r="F114" s="4" t="n">
        <v>51.65</v>
      </c>
      <c r="G114" s="3" t="n">
        <v>0</v>
      </c>
      <c r="H114" s="3" t="n">
        <v>237</v>
      </c>
    </row>
    <row r="115" customFormat="false" ht="15" hidden="false" customHeight="false" outlineLevel="0" collapsed="false">
      <c r="A115" s="8" t="n">
        <v>45405</v>
      </c>
      <c r="B115" s="3" t="n">
        <v>21217</v>
      </c>
      <c r="C115" s="3" t="n">
        <v>2277</v>
      </c>
      <c r="D115" s="3" t="n">
        <v>246</v>
      </c>
      <c r="E115" s="3" t="n">
        <v>17</v>
      </c>
      <c r="F115" s="4" t="n">
        <v>50.7</v>
      </c>
      <c r="G115" s="3" t="n">
        <v>0</v>
      </c>
      <c r="H115" s="3" t="n">
        <v>229</v>
      </c>
    </row>
    <row r="116" customFormat="false" ht="15" hidden="false" customHeight="false" outlineLevel="0" collapsed="false">
      <c r="A116" s="8" t="n">
        <v>45406</v>
      </c>
      <c r="B116" s="3" t="n">
        <v>25533</v>
      </c>
      <c r="C116" s="3" t="n">
        <v>2504</v>
      </c>
      <c r="D116" s="3" t="n">
        <v>451</v>
      </c>
      <c r="E116" s="3" t="n">
        <v>18</v>
      </c>
      <c r="F116" s="4" t="n">
        <v>47.1</v>
      </c>
      <c r="G116" s="3" t="n">
        <v>1</v>
      </c>
      <c r="H116" s="3" t="n">
        <v>433</v>
      </c>
    </row>
    <row r="117" customFormat="false" ht="15" hidden="false" customHeight="false" outlineLevel="0" collapsed="false">
      <c r="A117" s="8" t="n">
        <v>45407</v>
      </c>
      <c r="B117" s="3" t="n">
        <v>23826</v>
      </c>
      <c r="C117" s="3" t="n">
        <v>2449</v>
      </c>
      <c r="D117" s="3" t="n">
        <v>297</v>
      </c>
      <c r="E117" s="3" t="n">
        <v>16</v>
      </c>
      <c r="F117" s="4" t="n">
        <v>53.96</v>
      </c>
      <c r="G117" s="3" t="n">
        <v>0</v>
      </c>
      <c r="H117" s="3" t="n">
        <v>281</v>
      </c>
    </row>
    <row r="118" customFormat="false" ht="15" hidden="false" customHeight="false" outlineLevel="0" collapsed="false">
      <c r="A118" s="8" t="n">
        <v>45408</v>
      </c>
      <c r="B118" s="3" t="n">
        <v>26186</v>
      </c>
      <c r="C118" s="3" t="n">
        <v>2555</v>
      </c>
      <c r="D118" s="3" t="n">
        <v>258</v>
      </c>
      <c r="E118" s="3" t="n">
        <v>9</v>
      </c>
      <c r="F118" s="4" t="n">
        <v>63.49</v>
      </c>
      <c r="G118" s="3" t="n">
        <v>0</v>
      </c>
      <c r="H118" s="3" t="n">
        <v>249</v>
      </c>
    </row>
    <row r="119" customFormat="false" ht="15" hidden="false" customHeight="false" outlineLevel="0" collapsed="false">
      <c r="A119" s="8" t="n">
        <v>45409</v>
      </c>
      <c r="B119" s="3" t="n">
        <v>29449</v>
      </c>
      <c r="C119" s="3" t="n">
        <v>2929</v>
      </c>
      <c r="D119" s="3" t="n">
        <v>373</v>
      </c>
      <c r="E119" s="3" t="n">
        <v>13</v>
      </c>
      <c r="F119" s="4" t="n">
        <v>64.16</v>
      </c>
      <c r="G119" s="3" t="n">
        <v>0</v>
      </c>
      <c r="H119" s="3" t="n">
        <v>360</v>
      </c>
    </row>
    <row r="120" customFormat="false" ht="15" hidden="false" customHeight="false" outlineLevel="0" collapsed="false">
      <c r="A120" s="8" t="n">
        <v>45410</v>
      </c>
      <c r="B120" s="3" t="n">
        <v>35702</v>
      </c>
      <c r="C120" s="3" t="n">
        <v>3463</v>
      </c>
      <c r="D120" s="3" t="n">
        <v>370</v>
      </c>
      <c r="E120" s="3" t="n">
        <v>11</v>
      </c>
      <c r="F120" s="4" t="n">
        <v>82.34</v>
      </c>
      <c r="G120" s="3" t="n">
        <v>1</v>
      </c>
      <c r="H120" s="3" t="n">
        <v>359</v>
      </c>
    </row>
    <row r="121" customFormat="false" ht="15" hidden="false" customHeight="false" outlineLevel="0" collapsed="false">
      <c r="A121" s="8" t="n">
        <v>45411</v>
      </c>
      <c r="B121" s="3" t="n">
        <v>24965</v>
      </c>
      <c r="C121" s="3" t="n">
        <v>2410</v>
      </c>
      <c r="D121" s="3" t="n">
        <v>254</v>
      </c>
      <c r="E121" s="3" t="n">
        <v>10</v>
      </c>
      <c r="F121" s="4" t="n">
        <v>52.11</v>
      </c>
      <c r="G121" s="3" t="n">
        <v>0</v>
      </c>
      <c r="H121" s="3" t="n">
        <v>244</v>
      </c>
    </row>
    <row r="122" customFormat="false" ht="15" hidden="false" customHeight="false" outlineLevel="0" collapsed="false">
      <c r="A122" s="8" t="n">
        <v>45412</v>
      </c>
      <c r="B122" s="3" t="n">
        <v>22790</v>
      </c>
      <c r="C122" s="3" t="n">
        <v>2146</v>
      </c>
      <c r="D122" s="3" t="n">
        <v>286</v>
      </c>
      <c r="E122" s="3" t="n">
        <v>14</v>
      </c>
      <c r="F122" s="4" t="n">
        <v>49.87</v>
      </c>
      <c r="G122" s="3" t="n">
        <v>1</v>
      </c>
      <c r="H122" s="3" t="n">
        <v>272</v>
      </c>
    </row>
    <row r="123" customFormat="false" ht="15" hidden="false" customHeight="false" outlineLevel="0" collapsed="false">
      <c r="A123" s="8" t="n">
        <v>45413</v>
      </c>
      <c r="B123" s="3" t="n">
        <v>26406</v>
      </c>
      <c r="C123" s="3" t="n">
        <v>2611</v>
      </c>
      <c r="D123" s="3" t="n">
        <v>291</v>
      </c>
      <c r="E123" s="3" t="n">
        <v>29</v>
      </c>
      <c r="F123" s="4" t="n">
        <v>51.28</v>
      </c>
      <c r="G123" s="3" t="n">
        <v>0</v>
      </c>
      <c r="H123" s="3" t="n">
        <v>262</v>
      </c>
    </row>
    <row r="124" customFormat="false" ht="15" hidden="false" customHeight="false" outlineLevel="0" collapsed="false">
      <c r="A124" s="8" t="n">
        <v>45414</v>
      </c>
      <c r="B124" s="3" t="n">
        <v>26614</v>
      </c>
      <c r="C124" s="3" t="n">
        <v>2499</v>
      </c>
      <c r="D124" s="3" t="n">
        <v>304</v>
      </c>
      <c r="E124" s="3" t="n">
        <v>19</v>
      </c>
      <c r="F124" s="4" t="n">
        <v>48.8</v>
      </c>
      <c r="G124" s="3" t="n">
        <v>1</v>
      </c>
      <c r="H124" s="3" t="n">
        <v>285</v>
      </c>
    </row>
    <row r="125" customFormat="false" ht="15" hidden="false" customHeight="false" outlineLevel="0" collapsed="false">
      <c r="A125" s="8" t="n">
        <v>45415</v>
      </c>
      <c r="B125" s="3" t="n">
        <v>30601</v>
      </c>
      <c r="C125" s="3" t="n">
        <v>3054</v>
      </c>
      <c r="D125" s="3" t="n">
        <v>336</v>
      </c>
      <c r="E125" s="3" t="n">
        <v>29</v>
      </c>
      <c r="F125" s="4" t="n">
        <v>73.03</v>
      </c>
      <c r="G125" s="3" t="n">
        <v>1</v>
      </c>
      <c r="H125" s="3" t="n">
        <v>307</v>
      </c>
    </row>
    <row r="126" customFormat="false" ht="15" hidden="false" customHeight="false" outlineLevel="0" collapsed="false">
      <c r="A126" s="8" t="n">
        <v>45416</v>
      </c>
      <c r="B126" s="3" t="n">
        <v>33143</v>
      </c>
      <c r="C126" s="3" t="n">
        <v>3362</v>
      </c>
      <c r="D126" s="3" t="n">
        <v>382</v>
      </c>
      <c r="E126" s="3" t="n">
        <v>22</v>
      </c>
      <c r="F126" s="4" t="n">
        <v>67.83</v>
      </c>
      <c r="G126" s="3" t="n">
        <v>1</v>
      </c>
      <c r="H126" s="3" t="n">
        <v>360</v>
      </c>
    </row>
    <row r="127" customFormat="false" ht="15" hidden="false" customHeight="false" outlineLevel="0" collapsed="false">
      <c r="A127" s="8" t="n">
        <v>45417</v>
      </c>
      <c r="B127" s="3" t="n">
        <v>31386</v>
      </c>
      <c r="C127" s="3" t="n">
        <v>3096</v>
      </c>
      <c r="D127" s="3" t="n">
        <v>366</v>
      </c>
      <c r="E127" s="3" t="n">
        <v>25</v>
      </c>
      <c r="F127" s="4" t="n">
        <v>67.05</v>
      </c>
      <c r="G127" s="3" t="n">
        <v>1</v>
      </c>
      <c r="H127" s="3" t="n">
        <v>341</v>
      </c>
    </row>
    <row r="128" customFormat="false" ht="15" hidden="false" customHeight="false" outlineLevel="0" collapsed="false">
      <c r="A128" s="8" t="n">
        <v>45418</v>
      </c>
      <c r="B128" s="3" t="n">
        <v>31257</v>
      </c>
      <c r="C128" s="3" t="n">
        <v>3004</v>
      </c>
      <c r="D128" s="3" t="n">
        <v>256</v>
      </c>
      <c r="E128" s="3" t="n">
        <v>15</v>
      </c>
      <c r="F128" s="4" t="n">
        <v>62.02</v>
      </c>
      <c r="G128" s="3" t="n">
        <v>1</v>
      </c>
      <c r="H128" s="3" t="n">
        <v>241</v>
      </c>
    </row>
    <row r="129" customFormat="false" ht="15" hidden="false" customHeight="false" outlineLevel="0" collapsed="false">
      <c r="A129" s="8" t="n">
        <v>45419</v>
      </c>
      <c r="B129" s="3" t="n">
        <v>22803</v>
      </c>
      <c r="C129" s="3" t="n">
        <v>2257</v>
      </c>
      <c r="D129" s="3" t="n">
        <v>276</v>
      </c>
      <c r="E129" s="3" t="n">
        <v>23</v>
      </c>
      <c r="F129" s="4" t="n">
        <v>45.19</v>
      </c>
      <c r="G129" s="3" t="n">
        <v>0</v>
      </c>
      <c r="H129" s="3" t="n">
        <v>253</v>
      </c>
    </row>
    <row r="130" customFormat="false" ht="15" hidden="false" customHeight="false" outlineLevel="0" collapsed="false">
      <c r="A130" s="8" t="n">
        <v>45420</v>
      </c>
      <c r="B130" s="3" t="n">
        <v>24426</v>
      </c>
      <c r="C130" s="3" t="n">
        <v>2345</v>
      </c>
      <c r="D130" s="3" t="n">
        <v>231</v>
      </c>
      <c r="E130" s="3" t="n">
        <v>25</v>
      </c>
      <c r="F130" s="4" t="n">
        <v>53.46</v>
      </c>
      <c r="G130" s="3" t="n">
        <v>1</v>
      </c>
      <c r="H130" s="3" t="n">
        <v>206</v>
      </c>
    </row>
    <row r="131" customFormat="false" ht="15" hidden="false" customHeight="false" outlineLevel="0" collapsed="false">
      <c r="A131" s="8" t="n">
        <v>45421</v>
      </c>
      <c r="B131" s="3" t="n">
        <v>23668</v>
      </c>
      <c r="C131" s="3" t="n">
        <v>2387</v>
      </c>
      <c r="D131" s="3" t="n">
        <v>209</v>
      </c>
      <c r="E131" s="3" t="n">
        <v>17</v>
      </c>
      <c r="F131" s="4" t="n">
        <v>49.58</v>
      </c>
      <c r="G131" s="3" t="n">
        <v>0</v>
      </c>
      <c r="H131" s="3" t="n">
        <v>192</v>
      </c>
    </row>
    <row r="132" customFormat="false" ht="15" hidden="false" customHeight="false" outlineLevel="0" collapsed="false">
      <c r="A132" s="8" t="n">
        <v>45422</v>
      </c>
      <c r="B132" s="3" t="n">
        <v>25315</v>
      </c>
      <c r="C132" s="3" t="n">
        <v>2281</v>
      </c>
      <c r="D132" s="3" t="n">
        <v>275</v>
      </c>
      <c r="E132" s="3" t="n">
        <v>24</v>
      </c>
      <c r="F132" s="4" t="n">
        <v>57.97</v>
      </c>
      <c r="G132" s="3" t="n">
        <v>1</v>
      </c>
      <c r="H132" s="3" t="n">
        <v>251</v>
      </c>
    </row>
    <row r="133" customFormat="false" ht="15" hidden="false" customHeight="false" outlineLevel="0" collapsed="false">
      <c r="A133" s="8" t="n">
        <v>45423</v>
      </c>
      <c r="B133" s="3" t="n">
        <v>25935</v>
      </c>
      <c r="C133" s="3" t="n">
        <v>2487</v>
      </c>
      <c r="D133" s="3" t="n">
        <v>288</v>
      </c>
      <c r="E133" s="3" t="n">
        <v>24</v>
      </c>
      <c r="F133" s="4" t="n">
        <v>59.78</v>
      </c>
      <c r="G133" s="3" t="n">
        <v>0</v>
      </c>
      <c r="H133" s="3" t="n">
        <v>264</v>
      </c>
    </row>
    <row r="134" customFormat="false" ht="15" hidden="false" customHeight="false" outlineLevel="0" collapsed="false">
      <c r="A134" s="8" t="n">
        <v>45424</v>
      </c>
      <c r="B134" s="3" t="n">
        <v>33111</v>
      </c>
      <c r="C134" s="3" t="n">
        <v>2963</v>
      </c>
      <c r="D134" s="3" t="n">
        <v>327</v>
      </c>
      <c r="E134" s="3" t="n">
        <v>17</v>
      </c>
      <c r="F134" s="4" t="n">
        <v>75.57</v>
      </c>
      <c r="G134" s="3" t="n">
        <v>1</v>
      </c>
      <c r="H134" s="3" t="n">
        <v>310</v>
      </c>
    </row>
    <row r="135" customFormat="false" ht="15" hidden="false" customHeight="false" outlineLevel="0" collapsed="false">
      <c r="A135" s="8" t="n">
        <v>45425</v>
      </c>
      <c r="B135" s="3" t="n">
        <v>26051</v>
      </c>
      <c r="C135" s="3" t="n">
        <v>2381</v>
      </c>
      <c r="D135" s="3" t="n">
        <v>323</v>
      </c>
      <c r="E135" s="3" t="n">
        <v>15</v>
      </c>
      <c r="F135" s="4" t="n">
        <v>59.1</v>
      </c>
      <c r="G135" s="3" t="n">
        <v>0</v>
      </c>
      <c r="H135" s="3" t="n">
        <v>308</v>
      </c>
    </row>
    <row r="136" customFormat="false" ht="15" hidden="false" customHeight="false" outlineLevel="0" collapsed="false">
      <c r="A136" s="8" t="n">
        <v>45426</v>
      </c>
      <c r="B136" s="3" t="n">
        <v>22490</v>
      </c>
      <c r="C136" s="3" t="n">
        <v>2306</v>
      </c>
      <c r="D136" s="3" t="n">
        <v>201</v>
      </c>
      <c r="E136" s="3" t="n">
        <v>14</v>
      </c>
      <c r="F136" s="4" t="n">
        <v>56.82</v>
      </c>
      <c r="G136" s="3" t="n">
        <v>0</v>
      </c>
      <c r="H136" s="3" t="n">
        <v>187</v>
      </c>
    </row>
    <row r="137" customFormat="false" ht="15" hidden="false" customHeight="false" outlineLevel="0" collapsed="false">
      <c r="A137" s="8" t="n">
        <v>45427</v>
      </c>
      <c r="B137" s="3" t="n">
        <v>23819</v>
      </c>
      <c r="C137" s="3" t="n">
        <v>2398</v>
      </c>
      <c r="D137" s="3" t="n">
        <v>245</v>
      </c>
      <c r="E137" s="3" t="n">
        <v>21</v>
      </c>
      <c r="F137" s="4" t="n">
        <v>48.73</v>
      </c>
      <c r="G137" s="3" t="n">
        <v>1</v>
      </c>
      <c r="H137" s="3" t="n">
        <v>224</v>
      </c>
    </row>
    <row r="138" customFormat="false" ht="15" hidden="false" customHeight="false" outlineLevel="0" collapsed="false">
      <c r="A138" s="8" t="n">
        <v>45428</v>
      </c>
      <c r="B138" s="3" t="n">
        <v>28017</v>
      </c>
      <c r="C138" s="3" t="n">
        <v>2645</v>
      </c>
      <c r="D138" s="3" t="n">
        <v>281</v>
      </c>
      <c r="E138" s="3" t="n">
        <v>23</v>
      </c>
      <c r="F138" s="4" t="n">
        <v>62.19</v>
      </c>
      <c r="G138" s="3" t="n">
        <v>1</v>
      </c>
      <c r="H138" s="3" t="n">
        <v>258</v>
      </c>
    </row>
    <row r="139" customFormat="false" ht="15" hidden="false" customHeight="false" outlineLevel="0" collapsed="false">
      <c r="A139" s="8" t="n">
        <v>45429</v>
      </c>
      <c r="B139" s="3" t="n">
        <v>29921</v>
      </c>
      <c r="C139" s="3" t="n">
        <v>2734</v>
      </c>
      <c r="D139" s="3" t="n">
        <v>326</v>
      </c>
      <c r="E139" s="3" t="n">
        <v>16</v>
      </c>
      <c r="F139" s="4" t="n">
        <v>73.07</v>
      </c>
      <c r="G139" s="3" t="n">
        <v>0</v>
      </c>
      <c r="H139" s="3" t="n">
        <v>310</v>
      </c>
    </row>
    <row r="140" customFormat="false" ht="15" hidden="false" customHeight="false" outlineLevel="0" collapsed="false">
      <c r="A140" s="8" t="n">
        <v>45430</v>
      </c>
      <c r="B140" s="3" t="n">
        <v>39653</v>
      </c>
      <c r="C140" s="3" t="n">
        <v>3398</v>
      </c>
      <c r="D140" s="3" t="n">
        <v>453</v>
      </c>
      <c r="E140" s="3" t="n">
        <v>21</v>
      </c>
      <c r="F140" s="4" t="n">
        <v>97.92</v>
      </c>
      <c r="G140" s="3" t="n">
        <v>1</v>
      </c>
      <c r="H140" s="3" t="n">
        <v>432</v>
      </c>
    </row>
    <row r="141" customFormat="false" ht="15" hidden="false" customHeight="false" outlineLevel="0" collapsed="false">
      <c r="A141" s="8" t="n">
        <v>45431</v>
      </c>
      <c r="B141" s="3" t="n">
        <v>44390</v>
      </c>
      <c r="C141" s="3" t="n">
        <v>4222</v>
      </c>
      <c r="D141" s="3" t="n">
        <v>418</v>
      </c>
      <c r="E141" s="3" t="n">
        <v>25</v>
      </c>
      <c r="F141" s="4" t="n">
        <v>88.47</v>
      </c>
      <c r="G141" s="3" t="n">
        <v>0</v>
      </c>
      <c r="H141" s="3" t="n">
        <v>393</v>
      </c>
    </row>
    <row r="142" customFormat="false" ht="15" hidden="false" customHeight="false" outlineLevel="0" collapsed="false">
      <c r="A142" s="8" t="n">
        <v>45432</v>
      </c>
      <c r="B142" s="3" t="n">
        <v>63090</v>
      </c>
      <c r="C142" s="3" t="n">
        <v>6727</v>
      </c>
      <c r="D142" s="3" t="n">
        <v>771</v>
      </c>
      <c r="E142" s="3" t="n">
        <v>25</v>
      </c>
      <c r="F142" s="4" t="n">
        <v>137.49</v>
      </c>
      <c r="G142" s="3" t="n">
        <v>1</v>
      </c>
      <c r="H142" s="3" t="n">
        <v>746</v>
      </c>
    </row>
    <row r="143" customFormat="false" ht="15" hidden="false" customHeight="false" outlineLevel="0" collapsed="false">
      <c r="A143" s="8" t="n">
        <v>45433</v>
      </c>
      <c r="B143" s="3" t="n">
        <v>48111</v>
      </c>
      <c r="C143" s="3" t="n">
        <v>4758</v>
      </c>
      <c r="D143" s="3" t="n">
        <v>532</v>
      </c>
      <c r="E143" s="3" t="n">
        <v>33</v>
      </c>
      <c r="F143" s="4" t="n">
        <v>119.91</v>
      </c>
      <c r="G143" s="3" t="n">
        <v>1</v>
      </c>
      <c r="H143" s="3" t="n">
        <v>499</v>
      </c>
    </row>
    <row r="144" customFormat="false" ht="15" hidden="false" customHeight="false" outlineLevel="0" collapsed="false">
      <c r="A144" s="8" t="n">
        <v>45434</v>
      </c>
      <c r="B144" s="3" t="n">
        <v>37389</v>
      </c>
      <c r="C144" s="3" t="n">
        <v>3553</v>
      </c>
      <c r="D144" s="3" t="n">
        <v>308</v>
      </c>
      <c r="E144" s="3" t="n">
        <v>31</v>
      </c>
      <c r="F144" s="4" t="n">
        <v>87.11</v>
      </c>
      <c r="G144" s="3" t="n">
        <v>1</v>
      </c>
      <c r="H144" s="3" t="n">
        <v>277</v>
      </c>
    </row>
    <row r="145" customFormat="false" ht="15" hidden="false" customHeight="false" outlineLevel="0" collapsed="false">
      <c r="A145" s="8" t="n">
        <v>45435</v>
      </c>
      <c r="B145" s="3" t="n">
        <v>43754</v>
      </c>
      <c r="C145" s="3" t="n">
        <v>4333</v>
      </c>
      <c r="D145" s="3" t="n">
        <v>357</v>
      </c>
      <c r="E145" s="3" t="n">
        <v>16</v>
      </c>
      <c r="F145" s="4" t="n">
        <v>99.47</v>
      </c>
      <c r="G145" s="3" t="n">
        <v>1</v>
      </c>
      <c r="H145" s="3" t="n">
        <v>341</v>
      </c>
    </row>
    <row r="146" customFormat="false" ht="15" hidden="false" customHeight="false" outlineLevel="0" collapsed="false">
      <c r="A146" s="8" t="n">
        <v>45436</v>
      </c>
      <c r="B146" s="3" t="n">
        <v>33033</v>
      </c>
      <c r="C146" s="3" t="n">
        <v>3011</v>
      </c>
      <c r="D146" s="3" t="n">
        <v>361</v>
      </c>
      <c r="E146" s="3" t="n">
        <v>35</v>
      </c>
      <c r="F146" s="4" t="n">
        <v>72.7</v>
      </c>
      <c r="G146" s="3" t="n">
        <v>0</v>
      </c>
      <c r="H146" s="3" t="n">
        <v>326</v>
      </c>
    </row>
    <row r="147" customFormat="false" ht="15" hidden="false" customHeight="false" outlineLevel="0" collapsed="false">
      <c r="A147" s="8" t="n">
        <v>45437</v>
      </c>
      <c r="B147" s="3" t="n">
        <v>33295</v>
      </c>
      <c r="C147" s="3" t="n">
        <v>3198</v>
      </c>
      <c r="D147" s="3" t="n">
        <v>353</v>
      </c>
      <c r="E147" s="3" t="n">
        <v>18</v>
      </c>
      <c r="F147" s="4" t="n">
        <v>72.35</v>
      </c>
      <c r="G147" s="3" t="n">
        <v>0</v>
      </c>
      <c r="H147" s="3" t="n">
        <v>335</v>
      </c>
    </row>
    <row r="148" customFormat="false" ht="15" hidden="false" customHeight="false" outlineLevel="0" collapsed="false">
      <c r="A148" s="8" t="n">
        <v>45438</v>
      </c>
      <c r="B148" s="3" t="n">
        <v>29643</v>
      </c>
      <c r="C148" s="3" t="n">
        <v>2893</v>
      </c>
      <c r="D148" s="3" t="n">
        <v>320</v>
      </c>
      <c r="E148" s="3" t="n">
        <v>29</v>
      </c>
      <c r="F148" s="4" t="n">
        <v>68.01</v>
      </c>
      <c r="G148" s="3" t="n">
        <v>0</v>
      </c>
      <c r="H148" s="3" t="n">
        <v>291</v>
      </c>
    </row>
    <row r="149" customFormat="false" ht="15" hidden="false" customHeight="false" outlineLevel="0" collapsed="false">
      <c r="A149" s="8" t="n">
        <v>45439</v>
      </c>
      <c r="B149" s="3" t="n">
        <v>27351</v>
      </c>
      <c r="C149" s="3" t="n">
        <v>2650</v>
      </c>
      <c r="D149" s="3" t="n">
        <v>298</v>
      </c>
      <c r="E149" s="3" t="n">
        <v>22</v>
      </c>
      <c r="F149" s="4" t="n">
        <v>60.13</v>
      </c>
      <c r="G149" s="3" t="n">
        <v>1</v>
      </c>
      <c r="H149" s="3" t="n">
        <v>276</v>
      </c>
    </row>
    <row r="150" customFormat="false" ht="15" hidden="false" customHeight="false" outlineLevel="0" collapsed="false">
      <c r="A150" s="8" t="n">
        <v>45440</v>
      </c>
      <c r="B150" s="3" t="n">
        <v>31699</v>
      </c>
      <c r="C150" s="3" t="n">
        <v>3179</v>
      </c>
      <c r="D150" s="3" t="n">
        <v>359</v>
      </c>
      <c r="E150" s="3" t="n">
        <v>19</v>
      </c>
      <c r="F150" s="4" t="n">
        <v>70.9</v>
      </c>
      <c r="G150" s="3" t="n">
        <v>1</v>
      </c>
      <c r="H150" s="3" t="n">
        <v>340</v>
      </c>
    </row>
    <row r="151" customFormat="false" ht="15" hidden="false" customHeight="false" outlineLevel="0" collapsed="false">
      <c r="A151" s="8" t="n">
        <v>45441</v>
      </c>
      <c r="B151" s="3" t="n">
        <v>28501</v>
      </c>
      <c r="C151" s="3" t="n">
        <v>2809</v>
      </c>
      <c r="D151" s="3" t="n">
        <v>360</v>
      </c>
      <c r="E151" s="3" t="n">
        <v>12</v>
      </c>
      <c r="F151" s="4" t="n">
        <v>64.41</v>
      </c>
      <c r="G151" s="3" t="n">
        <v>0</v>
      </c>
      <c r="H151" s="3" t="n">
        <v>348</v>
      </c>
    </row>
    <row r="152" customFormat="false" ht="15" hidden="false" customHeight="false" outlineLevel="0" collapsed="false">
      <c r="A152" s="8" t="n">
        <v>45442</v>
      </c>
      <c r="B152" s="3" t="n">
        <v>27516</v>
      </c>
      <c r="C152" s="3" t="n">
        <v>2746</v>
      </c>
      <c r="D152" s="3" t="n">
        <v>255</v>
      </c>
      <c r="E152" s="3" t="n">
        <v>20</v>
      </c>
      <c r="F152" s="4" t="n">
        <v>58.56</v>
      </c>
      <c r="G152" s="3" t="n">
        <v>0</v>
      </c>
      <c r="H152" s="3" t="n">
        <v>235</v>
      </c>
    </row>
    <row r="153" customFormat="false" ht="15" hidden="false" customHeight="false" outlineLevel="0" collapsed="false">
      <c r="A153" s="8" t="n">
        <v>45443</v>
      </c>
      <c r="B153" s="3" t="n">
        <v>24834</v>
      </c>
      <c r="C153" s="3" t="n">
        <v>2348</v>
      </c>
      <c r="D153" s="3" t="n">
        <v>228</v>
      </c>
      <c r="E153" s="3" t="n">
        <v>13</v>
      </c>
      <c r="F153" s="4" t="n">
        <v>58.26</v>
      </c>
      <c r="G153" s="3" t="n">
        <v>0</v>
      </c>
      <c r="H153" s="3" t="n">
        <v>215</v>
      </c>
    </row>
    <row r="154" customFormat="false" ht="15" hidden="false" customHeight="false" outlineLevel="0" collapsed="false">
      <c r="A154" s="8" t="n">
        <v>45444</v>
      </c>
      <c r="B154" s="3" t="n">
        <v>26523</v>
      </c>
      <c r="C154" s="3" t="n">
        <v>2671</v>
      </c>
      <c r="D154" s="3" t="n">
        <v>247</v>
      </c>
      <c r="E154" s="3" t="n">
        <v>29</v>
      </c>
      <c r="F154" s="4" t="n">
        <v>75.33</v>
      </c>
      <c r="G154" s="3" t="n">
        <v>0</v>
      </c>
      <c r="H154" s="3" t="n">
        <v>218</v>
      </c>
    </row>
    <row r="155" customFormat="false" ht="15" hidden="false" customHeight="false" outlineLevel="0" collapsed="false">
      <c r="A155" s="8" t="n">
        <v>45445</v>
      </c>
      <c r="B155" s="3" t="n">
        <v>30670</v>
      </c>
      <c r="C155" s="3" t="n">
        <v>3176</v>
      </c>
      <c r="D155" s="3" t="n">
        <v>351</v>
      </c>
      <c r="E155" s="3" t="n">
        <v>34</v>
      </c>
      <c r="F155" s="4" t="n">
        <v>59.88</v>
      </c>
      <c r="G155" s="3" t="n">
        <v>0</v>
      </c>
      <c r="H155" s="3" t="n">
        <v>317</v>
      </c>
    </row>
    <row r="156" customFormat="false" ht="15" hidden="false" customHeight="false" outlineLevel="0" collapsed="false">
      <c r="A156" s="8" t="n">
        <v>45446</v>
      </c>
      <c r="B156" s="3" t="n">
        <v>28166</v>
      </c>
      <c r="C156" s="3" t="n">
        <v>2632</v>
      </c>
      <c r="D156" s="3" t="n">
        <v>372</v>
      </c>
      <c r="E156" s="3" t="n">
        <v>17</v>
      </c>
      <c r="F156" s="4" t="n">
        <v>65.09</v>
      </c>
      <c r="G156" s="3" t="n">
        <v>0</v>
      </c>
      <c r="H156" s="3" t="n">
        <v>355</v>
      </c>
    </row>
    <row r="157" customFormat="false" ht="15" hidden="false" customHeight="false" outlineLevel="0" collapsed="false">
      <c r="A157" s="8" t="n">
        <v>45447</v>
      </c>
      <c r="B157" s="3" t="n">
        <v>35142</v>
      </c>
      <c r="C157" s="3" t="n">
        <v>3295</v>
      </c>
      <c r="D157" s="3" t="n">
        <v>361</v>
      </c>
      <c r="E157" s="3" t="n">
        <v>24</v>
      </c>
      <c r="F157" s="4" t="n">
        <v>74.51</v>
      </c>
      <c r="G157" s="3" t="n">
        <v>1</v>
      </c>
      <c r="H157" s="3" t="n">
        <v>337</v>
      </c>
    </row>
    <row r="158" customFormat="false" ht="15" hidden="false" customHeight="false" outlineLevel="0" collapsed="false">
      <c r="A158" s="8" t="n">
        <v>45448</v>
      </c>
      <c r="B158" s="3" t="n">
        <v>28949</v>
      </c>
      <c r="C158" s="3" t="n">
        <v>2965</v>
      </c>
      <c r="D158" s="3" t="n">
        <v>218</v>
      </c>
      <c r="E158" s="3" t="n">
        <v>17</v>
      </c>
      <c r="F158" s="4" t="n">
        <v>68.35</v>
      </c>
      <c r="G158" s="3" t="n">
        <v>0</v>
      </c>
      <c r="H158" s="3" t="n">
        <v>201</v>
      </c>
    </row>
    <row r="159" customFormat="false" ht="15" hidden="false" customHeight="false" outlineLevel="0" collapsed="false">
      <c r="A159" s="8" t="n">
        <v>45449</v>
      </c>
      <c r="B159" s="3" t="n">
        <v>32153</v>
      </c>
      <c r="C159" s="3" t="n">
        <v>3102</v>
      </c>
      <c r="D159" s="3" t="n">
        <v>273</v>
      </c>
      <c r="E159" s="3" t="n">
        <v>18</v>
      </c>
      <c r="F159" s="4" t="n">
        <v>72.8</v>
      </c>
      <c r="G159" s="3" t="n">
        <v>1</v>
      </c>
      <c r="H159" s="3" t="n">
        <v>255</v>
      </c>
    </row>
    <row r="160" customFormat="false" ht="15" hidden="false" customHeight="false" outlineLevel="0" collapsed="false">
      <c r="A160" s="8" t="n">
        <v>45450</v>
      </c>
      <c r="B160" s="3" t="n">
        <v>26986</v>
      </c>
      <c r="C160" s="3" t="n">
        <v>2771</v>
      </c>
      <c r="D160" s="3" t="n">
        <v>261</v>
      </c>
      <c r="E160" s="3" t="n">
        <v>28</v>
      </c>
      <c r="F160" s="4" t="n">
        <v>64.73</v>
      </c>
      <c r="G160" s="3" t="n">
        <v>1</v>
      </c>
      <c r="H160" s="3" t="n">
        <v>233</v>
      </c>
    </row>
    <row r="161" customFormat="false" ht="15" hidden="false" customHeight="false" outlineLevel="0" collapsed="false">
      <c r="A161" s="8" t="n">
        <v>45451</v>
      </c>
      <c r="B161" s="3" t="n">
        <v>28658</v>
      </c>
      <c r="C161" s="3" t="n">
        <v>2737</v>
      </c>
      <c r="D161" s="3" t="n">
        <v>289</v>
      </c>
      <c r="E161" s="3" t="n">
        <v>22</v>
      </c>
      <c r="F161" s="4" t="n">
        <v>71.1</v>
      </c>
      <c r="G161" s="3" t="n">
        <v>0</v>
      </c>
      <c r="H161" s="3" t="n">
        <v>267</v>
      </c>
    </row>
    <row r="162" customFormat="false" ht="15" hidden="false" customHeight="false" outlineLevel="0" collapsed="false">
      <c r="A162" s="8" t="n">
        <v>45452</v>
      </c>
      <c r="B162" s="3" t="n">
        <v>29502</v>
      </c>
      <c r="C162" s="3" t="n">
        <v>3035</v>
      </c>
      <c r="D162" s="3" t="n">
        <v>304</v>
      </c>
      <c r="E162" s="3" t="n">
        <v>37</v>
      </c>
      <c r="F162" s="4" t="n">
        <v>67.69</v>
      </c>
      <c r="G162" s="3" t="n">
        <v>1</v>
      </c>
      <c r="H162" s="3" t="n">
        <v>267</v>
      </c>
    </row>
    <row r="163" customFormat="false" ht="15" hidden="false" customHeight="false" outlineLevel="0" collapsed="false">
      <c r="A163" s="8" t="n">
        <v>45453</v>
      </c>
      <c r="B163" s="3" t="n">
        <v>26472</v>
      </c>
      <c r="C163" s="3" t="n">
        <v>2587</v>
      </c>
      <c r="D163" s="3" t="n">
        <v>292</v>
      </c>
      <c r="E163" s="3" t="n">
        <v>19</v>
      </c>
      <c r="F163" s="4" t="n">
        <v>65.52</v>
      </c>
      <c r="G163" s="3" t="n">
        <v>1</v>
      </c>
      <c r="H163" s="3" t="n">
        <v>273</v>
      </c>
    </row>
    <row r="164" customFormat="false" ht="15" hidden="false" customHeight="false" outlineLevel="0" collapsed="false">
      <c r="A164" s="8" t="n">
        <v>45454</v>
      </c>
      <c r="B164" s="3" t="n">
        <v>37381</v>
      </c>
      <c r="C164" s="3" t="n">
        <v>3671</v>
      </c>
      <c r="D164" s="3" t="n">
        <v>391</v>
      </c>
      <c r="E164" s="3" t="n">
        <v>30</v>
      </c>
      <c r="F164" s="4" t="n">
        <v>70.09</v>
      </c>
      <c r="G164" s="3" t="n">
        <v>1</v>
      </c>
      <c r="H164" s="3" t="n">
        <v>361</v>
      </c>
    </row>
    <row r="165" customFormat="false" ht="15" hidden="false" customHeight="false" outlineLevel="0" collapsed="false">
      <c r="A165" s="8" t="n">
        <v>45455</v>
      </c>
      <c r="B165" s="3" t="n">
        <v>26306</v>
      </c>
      <c r="C165" s="3" t="n">
        <v>2717</v>
      </c>
      <c r="D165" s="3" t="n">
        <v>337</v>
      </c>
      <c r="E165" s="3" t="n">
        <v>23</v>
      </c>
      <c r="F165" s="4" t="n">
        <v>67.61</v>
      </c>
      <c r="G165" s="3" t="n">
        <v>0</v>
      </c>
      <c r="H165" s="3" t="n">
        <v>314</v>
      </c>
    </row>
    <row r="166" customFormat="false" ht="15" hidden="false" customHeight="false" outlineLevel="0" collapsed="false">
      <c r="A166" s="8" t="n">
        <v>45456</v>
      </c>
      <c r="B166" s="3" t="n">
        <v>32188</v>
      </c>
      <c r="C166" s="3" t="n">
        <v>3084</v>
      </c>
      <c r="D166" s="3" t="n">
        <v>319</v>
      </c>
      <c r="E166" s="3" t="n">
        <v>28</v>
      </c>
      <c r="F166" s="4" t="n">
        <v>75.11</v>
      </c>
      <c r="G166" s="3" t="n">
        <v>0</v>
      </c>
      <c r="H166" s="3" t="n">
        <v>291</v>
      </c>
    </row>
    <row r="167" customFormat="false" ht="15" hidden="false" customHeight="false" outlineLevel="0" collapsed="false">
      <c r="A167" s="8" t="n">
        <v>45457</v>
      </c>
      <c r="B167" s="3" t="n">
        <v>26186</v>
      </c>
      <c r="C167" s="3" t="n">
        <v>2450</v>
      </c>
      <c r="D167" s="3" t="n">
        <v>252</v>
      </c>
      <c r="E167" s="3" t="n">
        <v>19</v>
      </c>
      <c r="F167" s="4" t="n">
        <v>64.67</v>
      </c>
      <c r="G167" s="3" t="n">
        <v>0</v>
      </c>
      <c r="H167" s="3" t="n">
        <v>233</v>
      </c>
    </row>
    <row r="168" customFormat="false" ht="15" hidden="false" customHeight="false" outlineLevel="0" collapsed="false">
      <c r="A168" s="8" t="n">
        <v>45458</v>
      </c>
      <c r="B168" s="3" t="n">
        <v>37627</v>
      </c>
      <c r="C168" s="3" t="n">
        <v>3592</v>
      </c>
      <c r="D168" s="3" t="n">
        <v>443</v>
      </c>
      <c r="E168" s="3" t="n">
        <v>22</v>
      </c>
      <c r="F168" s="4" t="n">
        <v>77.37</v>
      </c>
      <c r="G168" s="3" t="n">
        <v>0</v>
      </c>
      <c r="H168" s="3" t="n">
        <v>421</v>
      </c>
    </row>
    <row r="169" customFormat="false" ht="15" hidden="false" customHeight="false" outlineLevel="0" collapsed="false">
      <c r="A169" s="8" t="n">
        <v>45459</v>
      </c>
      <c r="B169" s="3" t="n">
        <v>35330</v>
      </c>
      <c r="C169" s="3" t="n">
        <v>3497</v>
      </c>
      <c r="D169" s="3" t="n">
        <v>307</v>
      </c>
      <c r="E169" s="3" t="n">
        <v>22</v>
      </c>
      <c r="F169" s="4" t="n">
        <v>74.98</v>
      </c>
      <c r="G169" s="3" t="n">
        <v>1</v>
      </c>
      <c r="H169" s="3" t="n">
        <v>285</v>
      </c>
    </row>
    <row r="170" customFormat="false" ht="15" hidden="false" customHeight="false" outlineLevel="0" collapsed="false">
      <c r="A170" s="8" t="n">
        <v>45460</v>
      </c>
      <c r="B170" s="3" t="n">
        <v>28863</v>
      </c>
      <c r="C170" s="3" t="n">
        <v>2630</v>
      </c>
      <c r="D170" s="3" t="n">
        <v>335</v>
      </c>
      <c r="E170" s="3" t="n">
        <v>17</v>
      </c>
      <c r="F170" s="4" t="n">
        <v>66.27</v>
      </c>
      <c r="G170" s="3" t="n">
        <v>0</v>
      </c>
      <c r="H170" s="3" t="n">
        <v>318</v>
      </c>
    </row>
    <row r="171" customFormat="false" ht="15" hidden="false" customHeight="false" outlineLevel="0" collapsed="false">
      <c r="A171" s="8" t="n">
        <v>45461</v>
      </c>
      <c r="B171" s="3" t="n">
        <v>29343</v>
      </c>
      <c r="C171" s="3" t="n">
        <v>2925</v>
      </c>
      <c r="D171" s="3" t="n">
        <v>326</v>
      </c>
      <c r="E171" s="3" t="n">
        <v>27</v>
      </c>
      <c r="F171" s="4" t="n">
        <v>66.54</v>
      </c>
      <c r="G171" s="3" t="n">
        <v>1</v>
      </c>
      <c r="H171" s="3" t="n">
        <v>299</v>
      </c>
    </row>
    <row r="172" customFormat="false" ht="15" hidden="false" customHeight="false" outlineLevel="0" collapsed="false">
      <c r="A172" s="8" t="n">
        <v>45462</v>
      </c>
      <c r="B172" s="3" t="n">
        <v>27328</v>
      </c>
      <c r="C172" s="3" t="n">
        <v>2599</v>
      </c>
      <c r="D172" s="3" t="n">
        <v>293</v>
      </c>
      <c r="E172" s="3" t="n">
        <v>27</v>
      </c>
      <c r="F172" s="4" t="n">
        <v>63.51</v>
      </c>
      <c r="G172" s="3" t="n">
        <v>1</v>
      </c>
      <c r="H172" s="3" t="n">
        <v>266</v>
      </c>
    </row>
    <row r="173" customFormat="false" ht="15" hidden="false" customHeight="false" outlineLevel="0" collapsed="false">
      <c r="A173" s="8" t="n">
        <v>45463</v>
      </c>
      <c r="B173" s="3" t="n">
        <v>31268</v>
      </c>
      <c r="C173" s="3" t="n">
        <v>3179</v>
      </c>
      <c r="D173" s="3" t="n">
        <v>435</v>
      </c>
      <c r="E173" s="3" t="n">
        <v>27</v>
      </c>
      <c r="F173" s="4" t="n">
        <v>77.52</v>
      </c>
      <c r="G173" s="3" t="n">
        <v>1</v>
      </c>
      <c r="H173" s="3" t="n">
        <v>408</v>
      </c>
    </row>
    <row r="174" customFormat="false" ht="15" hidden="false" customHeight="false" outlineLevel="0" collapsed="false">
      <c r="A174" s="8" t="n">
        <v>45464</v>
      </c>
      <c r="B174" s="3" t="n">
        <v>28135</v>
      </c>
      <c r="C174" s="3" t="n">
        <v>2473</v>
      </c>
      <c r="D174" s="3" t="n">
        <v>281</v>
      </c>
      <c r="E174" s="3" t="n">
        <v>36</v>
      </c>
      <c r="F174" s="4" t="n">
        <v>55.56</v>
      </c>
      <c r="G174" s="3" t="n">
        <v>1</v>
      </c>
      <c r="H174" s="3" t="n">
        <v>245</v>
      </c>
    </row>
    <row r="175" customFormat="false" ht="15" hidden="false" customHeight="false" outlineLevel="0" collapsed="false">
      <c r="A175" s="8" t="n">
        <v>45465</v>
      </c>
      <c r="B175" s="3" t="n">
        <v>29573</v>
      </c>
      <c r="C175" s="3" t="n">
        <v>2784</v>
      </c>
      <c r="D175" s="3" t="n">
        <v>441</v>
      </c>
      <c r="E175" s="3" t="n">
        <v>35</v>
      </c>
      <c r="F175" s="4" t="n">
        <v>72.75</v>
      </c>
      <c r="G175" s="3" t="n">
        <v>0</v>
      </c>
      <c r="H175" s="3" t="n">
        <v>406</v>
      </c>
    </row>
    <row r="176" customFormat="false" ht="15" hidden="false" customHeight="false" outlineLevel="0" collapsed="false">
      <c r="A176" s="8" t="n">
        <v>45466</v>
      </c>
      <c r="B176" s="3" t="n">
        <v>29463</v>
      </c>
      <c r="C176" s="3" t="n">
        <v>2671</v>
      </c>
      <c r="D176" s="3" t="n">
        <v>312</v>
      </c>
      <c r="E176" s="3" t="n">
        <v>20</v>
      </c>
      <c r="F176" s="4" t="n">
        <v>67.13</v>
      </c>
      <c r="G176" s="3" t="n">
        <v>0</v>
      </c>
      <c r="H176" s="3" t="n">
        <v>292</v>
      </c>
    </row>
    <row r="177" customFormat="false" ht="15" hidden="false" customHeight="false" outlineLevel="0" collapsed="false">
      <c r="A177" s="8" t="n">
        <v>45467</v>
      </c>
      <c r="B177" s="3" t="n">
        <v>30568</v>
      </c>
      <c r="C177" s="3" t="n">
        <v>2873</v>
      </c>
      <c r="D177" s="3" t="n">
        <v>277</v>
      </c>
      <c r="E177" s="3" t="n">
        <v>26</v>
      </c>
      <c r="F177" s="4" t="n">
        <v>68.51</v>
      </c>
      <c r="G177" s="3" t="n">
        <v>0</v>
      </c>
      <c r="H177" s="3" t="n">
        <v>251</v>
      </c>
    </row>
    <row r="178" customFormat="false" ht="15" hidden="false" customHeight="false" outlineLevel="0" collapsed="false">
      <c r="A178" s="8" t="n">
        <v>45468</v>
      </c>
      <c r="B178" s="3" t="n">
        <v>36280</v>
      </c>
      <c r="C178" s="3" t="n">
        <v>3562</v>
      </c>
      <c r="D178" s="3" t="n">
        <v>402</v>
      </c>
      <c r="E178" s="3" t="n">
        <v>19</v>
      </c>
      <c r="F178" s="4" t="n">
        <v>73.52</v>
      </c>
      <c r="G178" s="3" t="n">
        <v>1</v>
      </c>
      <c r="H178" s="3" t="n">
        <v>383</v>
      </c>
    </row>
    <row r="179" customFormat="false" ht="15" hidden="false" customHeight="false" outlineLevel="0" collapsed="false">
      <c r="A179" s="8" t="n">
        <v>45469</v>
      </c>
      <c r="B179" s="3" t="n">
        <v>30677</v>
      </c>
      <c r="C179" s="3" t="n">
        <v>2961</v>
      </c>
      <c r="D179" s="3" t="n">
        <v>286</v>
      </c>
      <c r="E179" s="3" t="n">
        <v>23</v>
      </c>
      <c r="F179" s="4" t="n">
        <v>72.84</v>
      </c>
      <c r="G179" s="3" t="n">
        <v>1</v>
      </c>
      <c r="H179" s="3" t="n">
        <v>263</v>
      </c>
    </row>
    <row r="180" customFormat="false" ht="15" hidden="false" customHeight="false" outlineLevel="0" collapsed="false">
      <c r="A180" s="8" t="n">
        <v>45470</v>
      </c>
      <c r="B180" s="3" t="n">
        <v>29743</v>
      </c>
      <c r="C180" s="3" t="n">
        <v>2862</v>
      </c>
      <c r="D180" s="3" t="n">
        <v>291</v>
      </c>
      <c r="E180" s="3" t="n">
        <v>19</v>
      </c>
      <c r="F180" s="4" t="n">
        <v>55.95</v>
      </c>
      <c r="G180" s="3" t="n">
        <v>1</v>
      </c>
      <c r="H180" s="3" t="n">
        <v>272</v>
      </c>
    </row>
    <row r="181" customFormat="false" ht="15" hidden="false" customHeight="false" outlineLevel="0" collapsed="false">
      <c r="A181" s="8" t="n">
        <v>45471</v>
      </c>
      <c r="B181" s="3" t="n">
        <v>31301</v>
      </c>
      <c r="C181" s="3" t="n">
        <v>3024</v>
      </c>
      <c r="D181" s="3" t="n">
        <v>364</v>
      </c>
      <c r="E181" s="3" t="n">
        <v>37</v>
      </c>
      <c r="F181" s="4" t="n">
        <v>75.27</v>
      </c>
      <c r="G181" s="3" t="n">
        <v>1</v>
      </c>
      <c r="H181" s="3" t="n">
        <v>327</v>
      </c>
    </row>
    <row r="182" customFormat="false" ht="15" hidden="false" customHeight="false" outlineLevel="0" collapsed="false">
      <c r="A182" s="8" t="n">
        <v>45472</v>
      </c>
      <c r="B182" s="3" t="n">
        <v>40785</v>
      </c>
      <c r="C182" s="3" t="n">
        <v>3997</v>
      </c>
      <c r="D182" s="3" t="n">
        <v>486</v>
      </c>
      <c r="E182" s="3" t="n">
        <v>26</v>
      </c>
      <c r="F182" s="4" t="n">
        <v>82.69</v>
      </c>
      <c r="G182" s="3" t="n">
        <v>1</v>
      </c>
      <c r="H182" s="3" t="n">
        <v>460</v>
      </c>
    </row>
    <row r="183" customFormat="false" ht="15" hidden="false" customHeight="false" outlineLevel="0" collapsed="false">
      <c r="A183" s="8" t="n">
        <v>45473</v>
      </c>
      <c r="B183" s="3" t="n">
        <v>35889</v>
      </c>
      <c r="C183" s="3" t="n">
        <v>3348</v>
      </c>
      <c r="D183" s="3" t="n">
        <v>358</v>
      </c>
      <c r="E183" s="3" t="n">
        <v>22</v>
      </c>
      <c r="F183" s="4" t="n">
        <v>82.38</v>
      </c>
      <c r="G183" s="3" t="n">
        <v>1</v>
      </c>
      <c r="H183" s="3" t="n">
        <v>336</v>
      </c>
    </row>
    <row r="184" customFormat="false" ht="15" hidden="false" customHeight="false" outlineLevel="0" collapsed="false">
      <c r="A184" s="8" t="n">
        <v>45474</v>
      </c>
      <c r="B184" s="3" t="n">
        <v>29007</v>
      </c>
      <c r="C184" s="3" t="n">
        <v>2900</v>
      </c>
      <c r="D184" s="3" t="n">
        <v>369</v>
      </c>
      <c r="E184" s="3" t="n">
        <v>33</v>
      </c>
      <c r="F184" s="4" t="n">
        <v>65.71</v>
      </c>
      <c r="G184" s="3" t="n">
        <v>0</v>
      </c>
      <c r="H184" s="3" t="n">
        <v>336</v>
      </c>
    </row>
    <row r="185" customFormat="false" ht="15" hidden="false" customHeight="false" outlineLevel="0" collapsed="false">
      <c r="A185" s="8" t="n">
        <v>45475</v>
      </c>
      <c r="B185" s="3" t="n">
        <v>34886</v>
      </c>
      <c r="C185" s="3" t="n">
        <v>3481</v>
      </c>
      <c r="D185" s="3" t="n">
        <v>455</v>
      </c>
      <c r="E185" s="3" t="n">
        <v>12</v>
      </c>
      <c r="F185" s="4" t="n">
        <v>87.66</v>
      </c>
      <c r="G185" s="3" t="n">
        <v>0</v>
      </c>
      <c r="H185" s="3" t="n">
        <v>443</v>
      </c>
    </row>
    <row r="186" customFormat="false" ht="15" hidden="false" customHeight="false" outlineLevel="0" collapsed="false">
      <c r="A186" s="8" t="n">
        <v>45476</v>
      </c>
      <c r="B186" s="3" t="n">
        <v>32242</v>
      </c>
      <c r="C186" s="3" t="n">
        <v>3183</v>
      </c>
      <c r="D186" s="3" t="n">
        <v>438</v>
      </c>
      <c r="E186" s="3" t="n">
        <v>13</v>
      </c>
      <c r="F186" s="4" t="n">
        <v>72.77</v>
      </c>
      <c r="G186" s="3" t="n">
        <v>0</v>
      </c>
      <c r="H186" s="3" t="n">
        <v>425</v>
      </c>
    </row>
    <row r="187" customFormat="false" ht="15" hidden="false" customHeight="false" outlineLevel="0" collapsed="false">
      <c r="A187" s="8" t="n">
        <v>45477</v>
      </c>
      <c r="B187" s="3" t="n">
        <v>36913</v>
      </c>
      <c r="C187" s="3" t="n">
        <v>3668</v>
      </c>
      <c r="D187" s="3" t="n">
        <v>438</v>
      </c>
      <c r="E187" s="3" t="n">
        <v>30</v>
      </c>
      <c r="F187" s="4" t="n">
        <v>79.99</v>
      </c>
      <c r="G187" s="3" t="n">
        <v>0</v>
      </c>
      <c r="H187" s="3" t="n">
        <v>408</v>
      </c>
    </row>
    <row r="188" customFormat="false" ht="15" hidden="false" customHeight="false" outlineLevel="0" collapsed="false">
      <c r="A188" s="8" t="n">
        <v>45478</v>
      </c>
      <c r="B188" s="3" t="n">
        <v>31461</v>
      </c>
      <c r="C188" s="3" t="n">
        <v>3095</v>
      </c>
      <c r="D188" s="3" t="n">
        <v>423</v>
      </c>
      <c r="E188" s="3" t="n">
        <v>24</v>
      </c>
      <c r="F188" s="4" t="n">
        <v>69.24</v>
      </c>
      <c r="G188" s="3" t="n">
        <v>2</v>
      </c>
      <c r="H188" s="3" t="n">
        <v>399</v>
      </c>
    </row>
    <row r="189" customFormat="false" ht="15" hidden="false" customHeight="false" outlineLevel="0" collapsed="false">
      <c r="A189" s="8" t="n">
        <v>45479</v>
      </c>
      <c r="B189" s="3" t="n">
        <v>30632</v>
      </c>
      <c r="C189" s="3" t="n">
        <v>3220</v>
      </c>
      <c r="D189" s="3" t="n">
        <v>253</v>
      </c>
      <c r="E189" s="3" t="n">
        <v>25</v>
      </c>
      <c r="F189" s="4" t="n">
        <v>77.78</v>
      </c>
      <c r="G189" s="3" t="n">
        <v>0</v>
      </c>
      <c r="H189" s="3" t="n">
        <v>228</v>
      </c>
    </row>
    <row r="190" customFormat="false" ht="15" hidden="false" customHeight="false" outlineLevel="0" collapsed="false">
      <c r="A190" s="8" t="n">
        <v>45480</v>
      </c>
      <c r="B190" s="3" t="n">
        <v>30182</v>
      </c>
      <c r="C190" s="3" t="n">
        <v>2924</v>
      </c>
      <c r="D190" s="3" t="n">
        <v>315</v>
      </c>
      <c r="E190" s="3" t="n">
        <v>16</v>
      </c>
      <c r="F190" s="4" t="n">
        <v>72.29</v>
      </c>
      <c r="G190" s="3" t="n">
        <v>1</v>
      </c>
      <c r="H190" s="3" t="n">
        <v>299</v>
      </c>
    </row>
    <row r="191" customFormat="false" ht="15" hidden="false" customHeight="false" outlineLevel="0" collapsed="false">
      <c r="A191" s="8" t="n">
        <v>45481</v>
      </c>
      <c r="B191" s="3" t="n">
        <v>37797</v>
      </c>
      <c r="C191" s="3" t="n">
        <v>3629</v>
      </c>
      <c r="D191" s="3" t="n">
        <v>364</v>
      </c>
      <c r="E191" s="3" t="n">
        <v>23</v>
      </c>
      <c r="F191" s="4" t="n">
        <v>84.13</v>
      </c>
      <c r="G191" s="3" t="n">
        <v>0</v>
      </c>
      <c r="H191" s="3" t="n">
        <v>341</v>
      </c>
    </row>
    <row r="192" customFormat="false" ht="15" hidden="false" customHeight="false" outlineLevel="0" collapsed="false">
      <c r="A192" s="8" t="n">
        <v>45482</v>
      </c>
      <c r="B192" s="3" t="n">
        <v>38222</v>
      </c>
      <c r="C192" s="3" t="n">
        <v>3604</v>
      </c>
      <c r="D192" s="3" t="n">
        <v>426</v>
      </c>
      <c r="E192" s="3" t="n">
        <v>43</v>
      </c>
      <c r="F192" s="4" t="n">
        <v>86.15</v>
      </c>
      <c r="G192" s="3" t="n">
        <v>0</v>
      </c>
      <c r="H192" s="3" t="n">
        <v>383</v>
      </c>
    </row>
    <row r="193" customFormat="false" ht="15" hidden="false" customHeight="false" outlineLevel="0" collapsed="false">
      <c r="A193" s="8" t="n">
        <v>45483</v>
      </c>
      <c r="B193" s="3" t="n">
        <v>30492</v>
      </c>
      <c r="C193" s="3" t="n">
        <v>2842</v>
      </c>
      <c r="D193" s="3" t="n">
        <v>307</v>
      </c>
      <c r="E193" s="3" t="n">
        <v>30</v>
      </c>
      <c r="F193" s="4" t="n">
        <v>61.82</v>
      </c>
      <c r="G193" s="3" t="n">
        <v>0</v>
      </c>
      <c r="H193" s="3" t="n">
        <v>277</v>
      </c>
    </row>
    <row r="194" customFormat="false" ht="15" hidden="false" customHeight="false" outlineLevel="0" collapsed="false">
      <c r="A194" s="8" t="n">
        <v>45484</v>
      </c>
      <c r="B194" s="3" t="n">
        <v>29828</v>
      </c>
      <c r="C194" s="3" t="n">
        <v>2755</v>
      </c>
      <c r="D194" s="3" t="n">
        <v>319</v>
      </c>
      <c r="E194" s="3" t="n">
        <v>25</v>
      </c>
      <c r="F194" s="4" t="n">
        <v>70.75</v>
      </c>
      <c r="G194" s="3" t="n">
        <v>0</v>
      </c>
      <c r="H194" s="3" t="n">
        <v>294</v>
      </c>
    </row>
    <row r="195" customFormat="false" ht="15" hidden="false" customHeight="false" outlineLevel="0" collapsed="false">
      <c r="A195" s="8" t="n">
        <v>45485</v>
      </c>
      <c r="B195" s="3" t="n">
        <v>37309</v>
      </c>
      <c r="C195" s="3" t="n">
        <v>3498</v>
      </c>
      <c r="D195" s="3" t="n">
        <v>542</v>
      </c>
      <c r="E195" s="3" t="n">
        <v>21</v>
      </c>
      <c r="F195" s="4" t="n">
        <v>74.56</v>
      </c>
      <c r="G195" s="3" t="n">
        <v>1</v>
      </c>
      <c r="H195" s="3" t="n">
        <v>521</v>
      </c>
    </row>
    <row r="196" customFormat="false" ht="15" hidden="false" customHeight="false" outlineLevel="0" collapsed="false">
      <c r="A196" s="8" t="n">
        <v>45486</v>
      </c>
      <c r="B196" s="3" t="n">
        <v>31601</v>
      </c>
      <c r="C196" s="3" t="n">
        <v>3063</v>
      </c>
      <c r="D196" s="3" t="n">
        <v>338</v>
      </c>
      <c r="E196" s="3" t="n">
        <v>21</v>
      </c>
      <c r="F196" s="4" t="n">
        <v>77.25</v>
      </c>
      <c r="G196" s="3" t="n">
        <v>0</v>
      </c>
      <c r="H196" s="3" t="n">
        <v>317</v>
      </c>
    </row>
    <row r="197" customFormat="false" ht="15" hidden="false" customHeight="false" outlineLevel="0" collapsed="false">
      <c r="A197" s="8" t="n">
        <v>45487</v>
      </c>
      <c r="B197" s="3" t="n">
        <v>32495</v>
      </c>
      <c r="C197" s="3" t="n">
        <v>3201</v>
      </c>
      <c r="D197" s="3" t="n">
        <v>379</v>
      </c>
      <c r="E197" s="3" t="n">
        <v>13</v>
      </c>
      <c r="F197" s="4" t="n">
        <v>75.62</v>
      </c>
      <c r="G197" s="3" t="n">
        <v>0</v>
      </c>
      <c r="H197" s="3" t="n">
        <v>366</v>
      </c>
    </row>
    <row r="198" customFormat="false" ht="15" hidden="false" customHeight="false" outlineLevel="0" collapsed="false">
      <c r="A198" s="8" t="n">
        <v>45488</v>
      </c>
      <c r="B198" s="3" t="n">
        <v>34066</v>
      </c>
      <c r="C198" s="3" t="n">
        <v>3318</v>
      </c>
      <c r="D198" s="3" t="n">
        <v>360</v>
      </c>
      <c r="E198" s="3" t="n">
        <v>26</v>
      </c>
      <c r="F198" s="4" t="n">
        <v>95.02</v>
      </c>
      <c r="G198" s="3" t="n">
        <v>1</v>
      </c>
      <c r="H198" s="3" t="n">
        <v>334</v>
      </c>
    </row>
    <row r="199" customFormat="false" ht="15" hidden="false" customHeight="false" outlineLevel="0" collapsed="false">
      <c r="A199" s="8" t="n">
        <v>45489</v>
      </c>
      <c r="B199" s="3" t="n">
        <v>30149</v>
      </c>
      <c r="C199" s="3" t="n">
        <v>2841</v>
      </c>
      <c r="D199" s="3" t="n">
        <v>334</v>
      </c>
      <c r="E199" s="3" t="n">
        <v>31</v>
      </c>
      <c r="F199" s="4" t="n">
        <v>63.66</v>
      </c>
      <c r="G199" s="3" t="n">
        <v>1</v>
      </c>
      <c r="H199" s="3" t="n">
        <v>303</v>
      </c>
    </row>
    <row r="200" customFormat="false" ht="15" hidden="false" customHeight="false" outlineLevel="0" collapsed="false">
      <c r="A200" s="8" t="n">
        <v>45490</v>
      </c>
      <c r="B200" s="3" t="n">
        <v>31667</v>
      </c>
      <c r="C200" s="3" t="n">
        <v>3189</v>
      </c>
      <c r="D200" s="3" t="n">
        <v>347</v>
      </c>
      <c r="E200" s="3" t="n">
        <v>15</v>
      </c>
      <c r="F200" s="4" t="n">
        <v>72.46</v>
      </c>
      <c r="G200" s="3" t="n">
        <v>1</v>
      </c>
      <c r="H200" s="3" t="n">
        <v>332</v>
      </c>
    </row>
    <row r="201" customFormat="false" ht="15" hidden="false" customHeight="false" outlineLevel="0" collapsed="false">
      <c r="A201" s="8" t="n">
        <v>45491</v>
      </c>
      <c r="B201" s="3" t="n">
        <v>31146</v>
      </c>
      <c r="C201" s="3" t="n">
        <v>3117</v>
      </c>
      <c r="D201" s="3" t="n">
        <v>365</v>
      </c>
      <c r="E201" s="3" t="n">
        <v>20</v>
      </c>
      <c r="F201" s="4" t="n">
        <v>83.01</v>
      </c>
      <c r="G201" s="3" t="n">
        <v>1</v>
      </c>
      <c r="H201" s="3" t="n">
        <v>345</v>
      </c>
    </row>
    <row r="202" customFormat="false" ht="15" hidden="false" customHeight="false" outlineLevel="0" collapsed="false">
      <c r="A202" s="8" t="n">
        <v>45492</v>
      </c>
      <c r="B202" s="3" t="n">
        <v>33155</v>
      </c>
      <c r="C202" s="3" t="n">
        <v>3203</v>
      </c>
      <c r="D202" s="3" t="n">
        <v>433</v>
      </c>
      <c r="E202" s="3" t="n">
        <v>17</v>
      </c>
      <c r="F202" s="4" t="n">
        <v>84.23</v>
      </c>
      <c r="G202" s="3" t="n">
        <v>0</v>
      </c>
      <c r="H202" s="3" t="n">
        <v>416</v>
      </c>
    </row>
    <row r="203" customFormat="false" ht="15" hidden="false" customHeight="false" outlineLevel="0" collapsed="false">
      <c r="A203" s="8" t="n">
        <v>45493</v>
      </c>
      <c r="B203" s="3" t="n">
        <v>43455</v>
      </c>
      <c r="C203" s="3" t="n">
        <v>4114</v>
      </c>
      <c r="D203" s="3" t="n">
        <v>610</v>
      </c>
      <c r="E203" s="3" t="n">
        <v>18</v>
      </c>
      <c r="F203" s="4" t="n">
        <v>94.97</v>
      </c>
      <c r="G203" s="3" t="n">
        <v>0</v>
      </c>
      <c r="H203" s="3" t="n">
        <v>592</v>
      </c>
    </row>
    <row r="204" customFormat="false" ht="15" hidden="false" customHeight="false" outlineLevel="0" collapsed="false">
      <c r="A204" s="8" t="n">
        <v>45494</v>
      </c>
      <c r="B204" s="3" t="n">
        <v>37191</v>
      </c>
      <c r="C204" s="3" t="n">
        <v>3695</v>
      </c>
      <c r="D204" s="3" t="n">
        <v>427</v>
      </c>
      <c r="E204" s="3" t="n">
        <v>25</v>
      </c>
      <c r="F204" s="4" t="n">
        <v>87.54</v>
      </c>
      <c r="G204" s="3" t="n">
        <v>1</v>
      </c>
      <c r="H204" s="3" t="n">
        <v>402</v>
      </c>
    </row>
    <row r="205" customFormat="false" ht="15" hidden="false" customHeight="false" outlineLevel="0" collapsed="false">
      <c r="A205" s="8" t="n">
        <v>45495</v>
      </c>
      <c r="B205" s="3" t="n">
        <v>34642</v>
      </c>
      <c r="C205" s="3" t="n">
        <v>3393</v>
      </c>
      <c r="D205" s="3" t="n">
        <v>415</v>
      </c>
      <c r="E205" s="3" t="n">
        <v>13</v>
      </c>
      <c r="F205" s="4" t="n">
        <v>80.15</v>
      </c>
      <c r="G205" s="3" t="n">
        <v>0</v>
      </c>
      <c r="H205" s="3" t="n">
        <v>402</v>
      </c>
    </row>
    <row r="206" customFormat="false" ht="15" hidden="false" customHeight="false" outlineLevel="0" collapsed="false">
      <c r="A206" s="8" t="n">
        <v>45496</v>
      </c>
      <c r="B206" s="3" t="n">
        <v>25132</v>
      </c>
      <c r="C206" s="3" t="n">
        <v>2302</v>
      </c>
      <c r="D206" s="3" t="n">
        <v>232</v>
      </c>
      <c r="E206" s="3" t="n">
        <v>29</v>
      </c>
      <c r="F206" s="4" t="n">
        <v>59.49</v>
      </c>
      <c r="G206" s="3" t="n">
        <v>1</v>
      </c>
      <c r="H206" s="3" t="n">
        <v>203</v>
      </c>
    </row>
    <row r="207" customFormat="false" ht="15" hidden="false" customHeight="false" outlineLevel="0" collapsed="false">
      <c r="A207" s="8" t="n">
        <v>45497</v>
      </c>
      <c r="B207" s="3" t="n">
        <v>32030</v>
      </c>
      <c r="C207" s="3" t="n">
        <v>3105</v>
      </c>
      <c r="D207" s="3" t="n">
        <v>346</v>
      </c>
      <c r="E207" s="3" t="n">
        <v>31</v>
      </c>
      <c r="F207" s="4" t="n">
        <v>70.14</v>
      </c>
      <c r="G207" s="3" t="n">
        <v>0</v>
      </c>
      <c r="H207" s="3" t="n">
        <v>315</v>
      </c>
    </row>
    <row r="208" customFormat="false" ht="15" hidden="false" customHeight="false" outlineLevel="0" collapsed="false">
      <c r="A208" s="8" t="n">
        <v>45498</v>
      </c>
      <c r="B208" s="3" t="n">
        <v>29186</v>
      </c>
      <c r="C208" s="3" t="n">
        <v>2867</v>
      </c>
      <c r="D208" s="3" t="n">
        <v>368</v>
      </c>
      <c r="E208" s="3" t="n">
        <v>23</v>
      </c>
      <c r="F208" s="4" t="n">
        <v>67.14</v>
      </c>
      <c r="G208" s="3" t="n">
        <v>1</v>
      </c>
      <c r="H208" s="3" t="n">
        <v>345</v>
      </c>
    </row>
    <row r="209" customFormat="false" ht="15" hidden="false" customHeight="false" outlineLevel="0" collapsed="false">
      <c r="A209" s="8" t="n">
        <v>45499</v>
      </c>
      <c r="B209" s="3" t="n">
        <v>27965</v>
      </c>
      <c r="C209" s="3" t="n">
        <v>2621</v>
      </c>
      <c r="D209" s="3" t="n">
        <v>349</v>
      </c>
      <c r="E209" s="3" t="n">
        <v>12</v>
      </c>
      <c r="F209" s="4" t="n">
        <v>57.05</v>
      </c>
      <c r="G209" s="3" t="n">
        <v>0</v>
      </c>
      <c r="H209" s="3" t="n">
        <v>337</v>
      </c>
    </row>
    <row r="210" customFormat="false" ht="15" hidden="false" customHeight="false" outlineLevel="0" collapsed="false">
      <c r="A210" s="8" t="n">
        <v>45500</v>
      </c>
      <c r="B210" s="3" t="n">
        <v>33581</v>
      </c>
      <c r="C210" s="3" t="n">
        <v>3289</v>
      </c>
      <c r="D210" s="3" t="n">
        <v>380</v>
      </c>
      <c r="E210" s="3" t="n">
        <v>18</v>
      </c>
      <c r="F210" s="4" t="n">
        <v>78.74</v>
      </c>
      <c r="G210" s="3" t="n">
        <v>0</v>
      </c>
      <c r="H210" s="3" t="n">
        <v>362</v>
      </c>
    </row>
    <row r="211" customFormat="false" ht="15" hidden="false" customHeight="false" outlineLevel="0" collapsed="false">
      <c r="A211" s="8" t="n">
        <v>45501</v>
      </c>
      <c r="B211" s="3" t="n">
        <v>35930</v>
      </c>
      <c r="C211" s="3" t="n">
        <v>3290</v>
      </c>
      <c r="D211" s="3" t="n">
        <v>450</v>
      </c>
      <c r="E211" s="3" t="n">
        <v>36</v>
      </c>
      <c r="F211" s="4" t="n">
        <v>86.44</v>
      </c>
      <c r="G211" s="3" t="n">
        <v>1</v>
      </c>
      <c r="H211" s="3" t="n">
        <v>414</v>
      </c>
    </row>
    <row r="212" customFormat="false" ht="15" hidden="false" customHeight="false" outlineLevel="0" collapsed="false">
      <c r="A212" s="8" t="n">
        <v>45502</v>
      </c>
      <c r="B212" s="3" t="n">
        <v>36384</v>
      </c>
      <c r="C212" s="3" t="n">
        <v>3726</v>
      </c>
      <c r="D212" s="3" t="n">
        <v>429</v>
      </c>
      <c r="E212" s="3" t="n">
        <v>11</v>
      </c>
      <c r="F212" s="4" t="n">
        <v>82.96</v>
      </c>
      <c r="G212" s="3" t="n">
        <v>1</v>
      </c>
      <c r="H212" s="3" t="n">
        <v>418</v>
      </c>
    </row>
    <row r="213" customFormat="false" ht="15" hidden="false" customHeight="false" outlineLevel="0" collapsed="false">
      <c r="A213" s="8" t="n">
        <v>45503</v>
      </c>
      <c r="B213" s="3" t="n">
        <v>27866</v>
      </c>
      <c r="C213" s="3" t="n">
        <v>2844</v>
      </c>
      <c r="D213" s="3" t="n">
        <v>366</v>
      </c>
      <c r="E213" s="3" t="n">
        <v>22</v>
      </c>
      <c r="F213" s="4" t="n">
        <v>56.89</v>
      </c>
      <c r="G213" s="3" t="n">
        <v>0</v>
      </c>
      <c r="H213" s="3" t="n">
        <v>344</v>
      </c>
    </row>
    <row r="214" customFormat="false" ht="15" hidden="false" customHeight="false" outlineLevel="0" collapsed="false">
      <c r="A214" s="8" t="n">
        <v>45504</v>
      </c>
      <c r="B214" s="3" t="n">
        <v>32870</v>
      </c>
      <c r="C214" s="3" t="n">
        <v>3163</v>
      </c>
      <c r="D214" s="3" t="n">
        <v>376</v>
      </c>
      <c r="E214" s="3" t="n">
        <v>18</v>
      </c>
      <c r="F214" s="4" t="n">
        <v>82.69</v>
      </c>
      <c r="G214" s="3" t="n">
        <v>0</v>
      </c>
      <c r="H214" s="3" t="n">
        <v>358</v>
      </c>
    </row>
    <row r="215" customFormat="false" ht="15" hidden="false" customHeight="false" outlineLevel="0" collapsed="false">
      <c r="A215" s="8" t="n">
        <v>45505</v>
      </c>
      <c r="B215" s="3" t="n">
        <v>30972</v>
      </c>
      <c r="C215" s="3" t="n">
        <v>3055</v>
      </c>
      <c r="D215" s="3" t="n">
        <v>322</v>
      </c>
      <c r="E215" s="3" t="n">
        <v>32</v>
      </c>
      <c r="F215" s="4" t="n">
        <v>74.16</v>
      </c>
      <c r="G215" s="3" t="n">
        <v>1</v>
      </c>
      <c r="H215" s="3" t="n">
        <v>290</v>
      </c>
    </row>
    <row r="216" customFormat="false" ht="15" hidden="false" customHeight="false" outlineLevel="0" collapsed="false">
      <c r="A216" s="8" t="n">
        <v>45506</v>
      </c>
      <c r="B216" s="3" t="n">
        <v>31632</v>
      </c>
      <c r="C216" s="3" t="n">
        <v>2779</v>
      </c>
      <c r="D216" s="3" t="n">
        <v>364</v>
      </c>
      <c r="E216" s="3" t="n">
        <v>20</v>
      </c>
      <c r="F216" s="4" t="n">
        <v>69.45</v>
      </c>
      <c r="G216" s="3" t="n">
        <v>0</v>
      </c>
      <c r="H216" s="3" t="n">
        <v>344</v>
      </c>
    </row>
    <row r="217" customFormat="false" ht="15" hidden="false" customHeight="false" outlineLevel="0" collapsed="false">
      <c r="A217" s="8" t="n">
        <v>45507</v>
      </c>
      <c r="B217" s="3" t="n">
        <v>94100</v>
      </c>
      <c r="C217" s="3" t="n">
        <v>8725</v>
      </c>
      <c r="D217" s="3" t="n">
        <v>664</v>
      </c>
      <c r="E217" s="3" t="n">
        <v>28</v>
      </c>
      <c r="F217" s="4" t="n">
        <v>214.22</v>
      </c>
      <c r="G217" s="3" t="n">
        <v>1</v>
      </c>
      <c r="H217" s="3" t="n">
        <v>636</v>
      </c>
    </row>
    <row r="218" customFormat="false" ht="15" hidden="false" customHeight="false" outlineLevel="0" collapsed="false">
      <c r="A218" s="8" t="n">
        <v>45508</v>
      </c>
      <c r="B218" s="3" t="n">
        <v>80281</v>
      </c>
      <c r="C218" s="3" t="n">
        <v>7713</v>
      </c>
      <c r="D218" s="3" t="n">
        <v>932</v>
      </c>
      <c r="E218" s="3" t="n">
        <v>30</v>
      </c>
      <c r="F218" s="4" t="n">
        <v>165.86</v>
      </c>
      <c r="G218" s="3" t="n">
        <v>1</v>
      </c>
      <c r="H218" s="3" t="n">
        <v>902</v>
      </c>
    </row>
    <row r="219" customFormat="false" ht="15" hidden="false" customHeight="false" outlineLevel="0" collapsed="false">
      <c r="A219" s="8" t="n">
        <v>45509</v>
      </c>
      <c r="B219" s="3" t="n">
        <v>68457</v>
      </c>
      <c r="C219" s="3" t="n">
        <v>6370</v>
      </c>
      <c r="D219" s="3" t="n">
        <v>434</v>
      </c>
      <c r="E219" s="3" t="n">
        <v>44</v>
      </c>
      <c r="F219" s="4" t="n">
        <v>146.99</v>
      </c>
      <c r="G219" s="3" t="n">
        <v>1</v>
      </c>
      <c r="H219" s="3" t="n">
        <v>390</v>
      </c>
    </row>
    <row r="220" customFormat="false" ht="15" hidden="false" customHeight="false" outlineLevel="0" collapsed="false">
      <c r="A220" s="8" t="n">
        <v>45510</v>
      </c>
      <c r="B220" s="3" t="n">
        <v>50196</v>
      </c>
      <c r="C220" s="3" t="n">
        <v>5019</v>
      </c>
      <c r="D220" s="3" t="n">
        <v>425</v>
      </c>
      <c r="E220" s="3" t="n">
        <v>24</v>
      </c>
      <c r="F220" s="4" t="n">
        <v>112.13</v>
      </c>
      <c r="G220" s="3" t="n">
        <v>0</v>
      </c>
      <c r="H220" s="3" t="n">
        <v>401</v>
      </c>
    </row>
    <row r="221" customFormat="false" ht="15" hidden="false" customHeight="false" outlineLevel="0" collapsed="false">
      <c r="A221" s="8" t="n">
        <v>45511</v>
      </c>
      <c r="B221" s="3" t="n">
        <v>40410</v>
      </c>
      <c r="C221" s="3" t="n">
        <v>4242</v>
      </c>
      <c r="D221" s="3" t="n">
        <v>474</v>
      </c>
      <c r="E221" s="3" t="n">
        <v>28</v>
      </c>
      <c r="F221" s="4" t="n">
        <v>104.02</v>
      </c>
      <c r="G221" s="3" t="n">
        <v>0</v>
      </c>
      <c r="H221" s="3" t="n">
        <v>446</v>
      </c>
    </row>
    <row r="222" customFormat="false" ht="15" hidden="false" customHeight="false" outlineLevel="0" collapsed="false">
      <c r="A222" s="8" t="n">
        <v>45512</v>
      </c>
      <c r="B222" s="3" t="n">
        <v>35719</v>
      </c>
      <c r="C222" s="3" t="n">
        <v>3309</v>
      </c>
      <c r="D222" s="3" t="n">
        <v>420</v>
      </c>
      <c r="E222" s="3" t="n">
        <v>16</v>
      </c>
      <c r="F222" s="4" t="n">
        <v>79.23</v>
      </c>
      <c r="G222" s="3" t="n">
        <v>0</v>
      </c>
      <c r="H222" s="3" t="n">
        <v>404</v>
      </c>
    </row>
    <row r="223" customFormat="false" ht="15" hidden="false" customHeight="false" outlineLevel="0" collapsed="false">
      <c r="A223" s="8" t="n">
        <v>45513</v>
      </c>
      <c r="B223" s="3" t="n">
        <v>34419</v>
      </c>
      <c r="C223" s="3" t="n">
        <v>3234</v>
      </c>
      <c r="D223" s="3" t="n">
        <v>317</v>
      </c>
      <c r="E223" s="3" t="n">
        <v>36</v>
      </c>
      <c r="F223" s="4" t="n">
        <v>84.62</v>
      </c>
      <c r="G223" s="3" t="n">
        <v>0</v>
      </c>
      <c r="H223" s="3" t="n">
        <v>281</v>
      </c>
    </row>
    <row r="224" customFormat="false" ht="15" hidden="false" customHeight="false" outlineLevel="0" collapsed="false">
      <c r="A224" s="8" t="n">
        <v>45514</v>
      </c>
      <c r="B224" s="3" t="n">
        <v>39359</v>
      </c>
      <c r="C224" s="3" t="n">
        <v>3862</v>
      </c>
      <c r="D224" s="3" t="n">
        <v>388</v>
      </c>
      <c r="E224" s="3" t="n">
        <v>20</v>
      </c>
      <c r="F224" s="4" t="n">
        <v>88.1</v>
      </c>
      <c r="G224" s="3" t="n">
        <v>0</v>
      </c>
      <c r="H224" s="3" t="n">
        <v>368</v>
      </c>
    </row>
    <row r="225" customFormat="false" ht="15" hidden="false" customHeight="false" outlineLevel="0" collapsed="false">
      <c r="A225" s="8" t="n">
        <v>45515</v>
      </c>
      <c r="B225" s="3" t="n">
        <v>33909</v>
      </c>
      <c r="C225" s="3" t="n">
        <v>3509</v>
      </c>
      <c r="D225" s="3" t="n">
        <v>456</v>
      </c>
      <c r="E225" s="3" t="n">
        <v>22</v>
      </c>
      <c r="F225" s="4" t="n">
        <v>80.87</v>
      </c>
      <c r="G225" s="3" t="n">
        <v>1</v>
      </c>
      <c r="H225" s="3" t="n">
        <v>434</v>
      </c>
    </row>
    <row r="226" customFormat="false" ht="15" hidden="false" customHeight="false" outlineLevel="0" collapsed="false">
      <c r="A226" s="8" t="n">
        <v>45516</v>
      </c>
      <c r="B226" s="3" t="n">
        <v>34027</v>
      </c>
      <c r="C226" s="3" t="n">
        <v>3146</v>
      </c>
      <c r="D226" s="3" t="n">
        <v>347</v>
      </c>
      <c r="E226" s="3" t="n">
        <v>25</v>
      </c>
      <c r="F226" s="4" t="n">
        <v>78.71</v>
      </c>
      <c r="G226" s="3" t="n">
        <v>0</v>
      </c>
      <c r="H226" s="3" t="n">
        <v>322</v>
      </c>
    </row>
    <row r="227" customFormat="false" ht="15" hidden="false" customHeight="false" outlineLevel="0" collapsed="false">
      <c r="A227" s="8" t="n">
        <v>45517</v>
      </c>
      <c r="B227" s="3" t="n">
        <v>34672</v>
      </c>
      <c r="C227" s="3" t="n">
        <v>3404</v>
      </c>
      <c r="D227" s="3" t="n">
        <v>532</v>
      </c>
      <c r="E227" s="3" t="n">
        <v>16</v>
      </c>
      <c r="F227" s="4" t="n">
        <v>87.03</v>
      </c>
      <c r="G227" s="3" t="n">
        <v>0</v>
      </c>
      <c r="H227" s="3" t="n">
        <v>516</v>
      </c>
    </row>
    <row r="228" customFormat="false" ht="15" hidden="false" customHeight="false" outlineLevel="0" collapsed="false">
      <c r="A228" s="8" t="n">
        <v>45518</v>
      </c>
      <c r="B228" s="3" t="n">
        <v>45737</v>
      </c>
      <c r="C228" s="3" t="n">
        <v>4770</v>
      </c>
      <c r="D228" s="3" t="n">
        <v>501</v>
      </c>
      <c r="E228" s="3" t="n">
        <v>28</v>
      </c>
      <c r="F228" s="4" t="n">
        <v>102.63</v>
      </c>
      <c r="G228" s="3" t="n">
        <v>0</v>
      </c>
      <c r="H228" s="3" t="n">
        <v>473</v>
      </c>
    </row>
    <row r="229" customFormat="false" ht="15" hidden="false" customHeight="false" outlineLevel="0" collapsed="false">
      <c r="A229" s="8" t="n">
        <v>45519</v>
      </c>
      <c r="B229" s="3" t="n">
        <v>42447</v>
      </c>
      <c r="C229" s="3" t="n">
        <v>3854</v>
      </c>
      <c r="D229" s="3" t="n">
        <v>494</v>
      </c>
      <c r="E229" s="3" t="n">
        <v>35</v>
      </c>
      <c r="F229" s="4" t="n">
        <v>87.7</v>
      </c>
      <c r="G229" s="3" t="n">
        <v>1</v>
      </c>
      <c r="H229" s="3" t="n">
        <v>459</v>
      </c>
    </row>
    <row r="230" customFormat="false" ht="15" hidden="false" customHeight="false" outlineLevel="0" collapsed="false">
      <c r="A230" s="8" t="n">
        <v>45520</v>
      </c>
      <c r="B230" s="3" t="n">
        <v>30658</v>
      </c>
      <c r="C230" s="3" t="n">
        <v>2828</v>
      </c>
      <c r="D230" s="3" t="n">
        <v>428</v>
      </c>
      <c r="E230" s="3" t="n">
        <v>28</v>
      </c>
      <c r="F230" s="4" t="n">
        <v>64.35</v>
      </c>
      <c r="G230" s="3" t="n">
        <v>0</v>
      </c>
      <c r="H230" s="3" t="n">
        <v>400</v>
      </c>
    </row>
    <row r="231" customFormat="false" ht="15" hidden="false" customHeight="false" outlineLevel="0" collapsed="false">
      <c r="A231" s="8" t="n">
        <v>45521</v>
      </c>
      <c r="B231" s="3" t="n">
        <v>37818</v>
      </c>
      <c r="C231" s="3" t="n">
        <v>3614</v>
      </c>
      <c r="D231" s="3" t="n">
        <v>423</v>
      </c>
      <c r="E231" s="3" t="n">
        <v>16</v>
      </c>
      <c r="F231" s="4" t="n">
        <v>85.01</v>
      </c>
      <c r="G231" s="3" t="n">
        <v>1</v>
      </c>
      <c r="H231" s="3" t="n">
        <v>407</v>
      </c>
    </row>
    <row r="232" customFormat="false" ht="15" hidden="false" customHeight="false" outlineLevel="0" collapsed="false">
      <c r="A232" s="8" t="n">
        <v>45522</v>
      </c>
      <c r="B232" s="3" t="n">
        <v>32914</v>
      </c>
      <c r="C232" s="3" t="n">
        <v>3133</v>
      </c>
      <c r="D232" s="3" t="n">
        <v>310</v>
      </c>
      <c r="E232" s="3" t="n">
        <v>25</v>
      </c>
      <c r="F232" s="4" t="n">
        <v>69.9</v>
      </c>
      <c r="G232" s="3" t="n">
        <v>1</v>
      </c>
      <c r="H232" s="3" t="n">
        <v>285</v>
      </c>
    </row>
    <row r="233" customFormat="false" ht="15" hidden="false" customHeight="false" outlineLevel="0" collapsed="false">
      <c r="A233" s="8" t="n">
        <v>45523</v>
      </c>
      <c r="B233" s="3" t="n">
        <v>31851</v>
      </c>
      <c r="C233" s="3" t="n">
        <v>3197</v>
      </c>
      <c r="D233" s="3" t="n">
        <v>343</v>
      </c>
      <c r="E233" s="3" t="n">
        <v>33</v>
      </c>
      <c r="F233" s="4" t="n">
        <v>77.29</v>
      </c>
      <c r="G233" s="3" t="n">
        <v>0</v>
      </c>
      <c r="H233" s="3" t="n">
        <v>310</v>
      </c>
    </row>
    <row r="234" customFormat="false" ht="15" hidden="false" customHeight="false" outlineLevel="0" collapsed="false">
      <c r="A234" s="8" t="n">
        <v>45524</v>
      </c>
      <c r="B234" s="3" t="n">
        <v>35589</v>
      </c>
      <c r="C234" s="3" t="n">
        <v>3493</v>
      </c>
      <c r="D234" s="3" t="n">
        <v>388</v>
      </c>
      <c r="E234" s="3" t="n">
        <v>15</v>
      </c>
      <c r="F234" s="4" t="n">
        <v>80.56</v>
      </c>
      <c r="G234" s="3" t="n">
        <v>1</v>
      </c>
      <c r="H234" s="3" t="n">
        <v>373</v>
      </c>
    </row>
    <row r="235" customFormat="false" ht="15" hidden="false" customHeight="false" outlineLevel="0" collapsed="false">
      <c r="A235" s="8" t="n">
        <v>45525</v>
      </c>
      <c r="B235" s="3" t="n">
        <v>39690</v>
      </c>
      <c r="C235" s="3" t="n">
        <v>3584</v>
      </c>
      <c r="D235" s="3" t="n">
        <v>354</v>
      </c>
      <c r="E235" s="3" t="n">
        <v>19</v>
      </c>
      <c r="F235" s="4" t="n">
        <v>112.82</v>
      </c>
      <c r="G235" s="3" t="n">
        <v>1</v>
      </c>
      <c r="H235" s="3" t="n">
        <v>335</v>
      </c>
    </row>
    <row r="236" customFormat="false" ht="15" hidden="false" customHeight="false" outlineLevel="0" collapsed="false">
      <c r="A236" s="8" t="n">
        <v>45526</v>
      </c>
      <c r="B236" s="3" t="n">
        <v>31535</v>
      </c>
      <c r="C236" s="3" t="n">
        <v>3129</v>
      </c>
      <c r="D236" s="3" t="n">
        <v>332</v>
      </c>
      <c r="E236" s="3" t="n">
        <v>34</v>
      </c>
      <c r="F236" s="4" t="n">
        <v>64.54</v>
      </c>
      <c r="G236" s="3" t="n">
        <v>0</v>
      </c>
      <c r="H236" s="3" t="n">
        <v>298</v>
      </c>
    </row>
    <row r="237" customFormat="false" ht="15" hidden="false" customHeight="false" outlineLevel="0" collapsed="false">
      <c r="A237" s="8" t="n">
        <v>45527</v>
      </c>
      <c r="B237" s="3" t="n">
        <v>31890</v>
      </c>
      <c r="C237" s="3" t="n">
        <v>3029</v>
      </c>
      <c r="D237" s="3" t="n">
        <v>313</v>
      </c>
      <c r="E237" s="3" t="n">
        <v>28</v>
      </c>
      <c r="F237" s="4" t="n">
        <v>76.28</v>
      </c>
      <c r="G237" s="3" t="n">
        <v>0</v>
      </c>
      <c r="H237" s="3" t="n">
        <v>285</v>
      </c>
    </row>
    <row r="238" customFormat="false" ht="15" hidden="false" customHeight="false" outlineLevel="0" collapsed="false">
      <c r="A238" s="8" t="n">
        <v>45528</v>
      </c>
      <c r="B238" s="3" t="n">
        <v>30725</v>
      </c>
      <c r="C238" s="3" t="n">
        <v>3139</v>
      </c>
      <c r="D238" s="3" t="n">
        <v>387</v>
      </c>
      <c r="E238" s="3" t="n">
        <v>30</v>
      </c>
      <c r="F238" s="4" t="n">
        <v>66.1</v>
      </c>
      <c r="G238" s="3" t="n">
        <v>0</v>
      </c>
      <c r="H238" s="3" t="n">
        <v>357</v>
      </c>
    </row>
    <row r="239" customFormat="false" ht="15" hidden="false" customHeight="false" outlineLevel="0" collapsed="false">
      <c r="A239" s="8" t="n">
        <v>45529</v>
      </c>
      <c r="B239" s="3" t="n">
        <v>39073</v>
      </c>
      <c r="C239" s="3" t="n">
        <v>3703</v>
      </c>
      <c r="D239" s="3" t="n">
        <v>430</v>
      </c>
      <c r="E239" s="3" t="n">
        <v>46</v>
      </c>
      <c r="F239" s="4" t="n">
        <v>88.48</v>
      </c>
      <c r="G239" s="3" t="n">
        <v>0</v>
      </c>
      <c r="H239" s="3" t="n">
        <v>384</v>
      </c>
    </row>
    <row r="240" customFormat="false" ht="15" hidden="false" customHeight="false" outlineLevel="0" collapsed="false">
      <c r="A240" s="8" t="n">
        <v>45530</v>
      </c>
      <c r="B240" s="3" t="n">
        <v>30566</v>
      </c>
      <c r="C240" s="3" t="n">
        <v>2896</v>
      </c>
      <c r="D240" s="3" t="n">
        <v>321</v>
      </c>
      <c r="E240" s="3" t="n">
        <v>30</v>
      </c>
      <c r="F240" s="4" t="n">
        <v>72.86</v>
      </c>
      <c r="G240" s="3" t="n">
        <v>0</v>
      </c>
      <c r="H240" s="3" t="n">
        <v>291</v>
      </c>
    </row>
    <row r="241" customFormat="false" ht="15" hidden="false" customHeight="false" outlineLevel="0" collapsed="false">
      <c r="A241" s="8" t="n">
        <v>45531</v>
      </c>
      <c r="B241" s="3" t="n">
        <v>32656</v>
      </c>
      <c r="C241" s="3" t="n">
        <v>3243</v>
      </c>
      <c r="D241" s="3" t="n">
        <v>352</v>
      </c>
      <c r="E241" s="3" t="n">
        <v>32</v>
      </c>
      <c r="F241" s="4" t="n">
        <v>63.94</v>
      </c>
      <c r="G241" s="3" t="n">
        <v>1</v>
      </c>
      <c r="H241" s="3" t="n">
        <v>320</v>
      </c>
    </row>
    <row r="242" customFormat="false" ht="15" hidden="false" customHeight="false" outlineLevel="0" collapsed="false">
      <c r="A242" s="8" t="n">
        <v>45532</v>
      </c>
      <c r="B242" s="3" t="n">
        <v>31391</v>
      </c>
      <c r="C242" s="3" t="n">
        <v>3145</v>
      </c>
      <c r="D242" s="3" t="n">
        <v>356</v>
      </c>
      <c r="E242" s="3" t="n">
        <v>60</v>
      </c>
      <c r="F242" s="4" t="n">
        <v>75.48</v>
      </c>
      <c r="G242" s="3" t="n">
        <v>1</v>
      </c>
      <c r="H242" s="3" t="n">
        <v>296</v>
      </c>
    </row>
    <row r="243" customFormat="false" ht="15" hidden="false" customHeight="false" outlineLevel="0" collapsed="false">
      <c r="A243" s="8" t="n">
        <v>45533</v>
      </c>
      <c r="B243" s="3" t="n">
        <v>34557</v>
      </c>
      <c r="C243" s="3" t="n">
        <v>3420</v>
      </c>
      <c r="D243" s="3" t="n">
        <v>415</v>
      </c>
      <c r="E243" s="3" t="n">
        <v>25</v>
      </c>
      <c r="F243" s="4" t="n">
        <v>94.99</v>
      </c>
      <c r="G243" s="3" t="n">
        <v>1</v>
      </c>
      <c r="H243" s="3" t="n">
        <v>390</v>
      </c>
    </row>
    <row r="244" customFormat="false" ht="15" hidden="false" customHeight="false" outlineLevel="0" collapsed="false">
      <c r="A244" s="8" t="n">
        <v>45534</v>
      </c>
      <c r="B244" s="3" t="n">
        <v>28365</v>
      </c>
      <c r="C244" s="3" t="n">
        <v>2572</v>
      </c>
      <c r="D244" s="3" t="n">
        <v>267</v>
      </c>
      <c r="E244" s="3" t="n">
        <v>21</v>
      </c>
      <c r="F244" s="4" t="n">
        <v>64.61</v>
      </c>
      <c r="G244" s="3" t="n">
        <v>1</v>
      </c>
      <c r="H244" s="3" t="n">
        <v>246</v>
      </c>
    </row>
    <row r="245" customFormat="false" ht="15" hidden="false" customHeight="false" outlineLevel="0" collapsed="false">
      <c r="A245" s="8" t="n">
        <v>45535</v>
      </c>
      <c r="B245" s="3" t="n">
        <v>33851</v>
      </c>
      <c r="C245" s="3" t="n">
        <v>3362</v>
      </c>
      <c r="D245" s="3" t="n">
        <v>317</v>
      </c>
      <c r="E245" s="3" t="n">
        <v>30</v>
      </c>
      <c r="F245" s="4" t="n">
        <v>81.68</v>
      </c>
      <c r="G245" s="3" t="n">
        <v>0</v>
      </c>
      <c r="H245" s="3" t="n">
        <v>287</v>
      </c>
    </row>
    <row r="246" customFormat="false" ht="15" hidden="false" customHeight="false" outlineLevel="0" collapsed="false">
      <c r="A246" s="8" t="n">
        <v>45536</v>
      </c>
      <c r="B246" s="3" t="n">
        <v>52231</v>
      </c>
      <c r="C246" s="3" t="n">
        <v>4868</v>
      </c>
      <c r="D246" s="3" t="n">
        <v>675</v>
      </c>
      <c r="E246" s="3" t="n">
        <v>31</v>
      </c>
      <c r="F246" s="4" t="n">
        <v>134.05</v>
      </c>
      <c r="G246" s="3" t="n">
        <v>1</v>
      </c>
      <c r="H246" s="3" t="n">
        <v>644</v>
      </c>
    </row>
    <row r="247" customFormat="false" ht="15" hidden="false" customHeight="false" outlineLevel="0" collapsed="false">
      <c r="A247" s="8" t="n">
        <v>45537</v>
      </c>
      <c r="B247" s="3" t="n">
        <v>30207</v>
      </c>
      <c r="C247" s="3" t="n">
        <v>2964</v>
      </c>
      <c r="D247" s="3" t="n">
        <v>311</v>
      </c>
      <c r="E247" s="3" t="n">
        <v>23</v>
      </c>
      <c r="F247" s="4" t="n">
        <v>70.53</v>
      </c>
      <c r="G247" s="3" t="n">
        <v>0</v>
      </c>
      <c r="H247" s="3" t="n">
        <v>288</v>
      </c>
    </row>
    <row r="248" customFormat="false" ht="15" hidden="false" customHeight="false" outlineLevel="0" collapsed="false">
      <c r="A248" s="8" t="n">
        <v>45538</v>
      </c>
      <c r="B248" s="3" t="n">
        <v>30972</v>
      </c>
      <c r="C248" s="3" t="n">
        <v>2839</v>
      </c>
      <c r="D248" s="3" t="n">
        <v>274</v>
      </c>
      <c r="E248" s="3" t="n">
        <v>20</v>
      </c>
      <c r="F248" s="4" t="n">
        <v>69.98</v>
      </c>
      <c r="G248" s="3" t="n">
        <v>0</v>
      </c>
      <c r="H248" s="3" t="n">
        <v>254</v>
      </c>
    </row>
    <row r="249" customFormat="false" ht="15" hidden="false" customHeight="false" outlineLevel="0" collapsed="false">
      <c r="A249" s="8" t="n">
        <v>45539</v>
      </c>
      <c r="B249" s="3" t="n">
        <v>44136</v>
      </c>
      <c r="C249" s="3" t="n">
        <v>4367</v>
      </c>
      <c r="D249" s="3" t="n">
        <v>517</v>
      </c>
      <c r="E249" s="3" t="n">
        <v>54</v>
      </c>
      <c r="F249" s="4" t="n">
        <v>87.13</v>
      </c>
      <c r="G249" s="3" t="n">
        <v>1</v>
      </c>
      <c r="H249" s="3" t="n">
        <v>463</v>
      </c>
    </row>
    <row r="250" customFormat="false" ht="15" hidden="false" customHeight="false" outlineLevel="0" collapsed="false">
      <c r="A250" s="8" t="n">
        <v>45540</v>
      </c>
      <c r="B250" s="3" t="n">
        <v>50280</v>
      </c>
      <c r="C250" s="3" t="n">
        <v>4730</v>
      </c>
      <c r="D250" s="3" t="n">
        <v>590</v>
      </c>
      <c r="E250" s="3" t="n">
        <v>30</v>
      </c>
      <c r="F250" s="4" t="n">
        <v>125.41</v>
      </c>
      <c r="G250" s="3" t="n">
        <v>1</v>
      </c>
      <c r="H250" s="3" t="n">
        <v>560</v>
      </c>
    </row>
    <row r="251" customFormat="false" ht="15" hidden="false" customHeight="false" outlineLevel="0" collapsed="false">
      <c r="A251" s="8" t="n">
        <v>45541</v>
      </c>
      <c r="B251" s="3" t="n">
        <v>30893</v>
      </c>
      <c r="C251" s="3" t="n">
        <v>2849</v>
      </c>
      <c r="D251" s="3" t="n">
        <v>269</v>
      </c>
      <c r="E251" s="3" t="n">
        <v>22</v>
      </c>
      <c r="F251" s="4" t="n">
        <v>72.58</v>
      </c>
      <c r="G251" s="3" t="n">
        <v>0</v>
      </c>
      <c r="H251" s="3" t="n">
        <v>247</v>
      </c>
    </row>
    <row r="252" customFormat="false" ht="15" hidden="false" customHeight="false" outlineLevel="0" collapsed="false">
      <c r="A252" s="8" t="n">
        <v>45542</v>
      </c>
      <c r="B252" s="3" t="n">
        <v>39206</v>
      </c>
      <c r="C252" s="3" t="n">
        <v>3920</v>
      </c>
      <c r="D252" s="3" t="n">
        <v>445</v>
      </c>
      <c r="E252" s="3" t="n">
        <v>36</v>
      </c>
      <c r="F252" s="4" t="n">
        <v>85.76</v>
      </c>
      <c r="G252" s="3" t="n">
        <v>0</v>
      </c>
      <c r="H252" s="3" t="n">
        <v>409</v>
      </c>
    </row>
    <row r="253" customFormat="false" ht="15" hidden="false" customHeight="false" outlineLevel="0" collapsed="false">
      <c r="A253" s="8" t="n">
        <v>45543</v>
      </c>
      <c r="B253" s="3" t="n">
        <v>42783</v>
      </c>
      <c r="C253" s="3" t="n">
        <v>4199</v>
      </c>
      <c r="D253" s="3" t="n">
        <v>523</v>
      </c>
      <c r="E253" s="3" t="n">
        <v>26</v>
      </c>
      <c r="F253" s="4" t="n">
        <v>102.57</v>
      </c>
      <c r="G253" s="3" t="n">
        <v>1</v>
      </c>
      <c r="H253" s="3" t="n">
        <v>497</v>
      </c>
    </row>
    <row r="254" customFormat="false" ht="15" hidden="false" customHeight="false" outlineLevel="0" collapsed="false">
      <c r="A254" s="8" t="n">
        <v>45544</v>
      </c>
      <c r="B254" s="3" t="n">
        <v>44034</v>
      </c>
      <c r="C254" s="3" t="n">
        <v>4176</v>
      </c>
      <c r="D254" s="3" t="n">
        <v>510</v>
      </c>
      <c r="E254" s="3" t="n">
        <v>25</v>
      </c>
      <c r="F254" s="4" t="n">
        <v>99.79</v>
      </c>
      <c r="G254" s="3" t="n">
        <v>0</v>
      </c>
      <c r="H254" s="3" t="n">
        <v>485</v>
      </c>
    </row>
    <row r="255" customFormat="false" ht="15" hidden="false" customHeight="false" outlineLevel="0" collapsed="false">
      <c r="A255" s="8" t="n">
        <v>45545</v>
      </c>
      <c r="B255" s="3" t="n">
        <v>31855</v>
      </c>
      <c r="C255" s="3" t="n">
        <v>3277</v>
      </c>
      <c r="D255" s="3" t="n">
        <v>384</v>
      </c>
      <c r="E255" s="3" t="n">
        <v>32</v>
      </c>
      <c r="F255" s="4" t="n">
        <v>72.55</v>
      </c>
      <c r="G255" s="3" t="n">
        <v>0</v>
      </c>
      <c r="H255" s="3" t="n">
        <v>352</v>
      </c>
    </row>
    <row r="256" customFormat="false" ht="15" hidden="false" customHeight="false" outlineLevel="0" collapsed="false">
      <c r="A256" s="8" t="n">
        <v>45546</v>
      </c>
      <c r="B256" s="3" t="n">
        <v>34894</v>
      </c>
      <c r="C256" s="3" t="n">
        <v>3332</v>
      </c>
      <c r="D256" s="3" t="n">
        <v>310</v>
      </c>
      <c r="E256" s="3" t="n">
        <v>19</v>
      </c>
      <c r="F256" s="4" t="n">
        <v>87.06</v>
      </c>
      <c r="G256" s="3" t="n">
        <v>0</v>
      </c>
      <c r="H256" s="3" t="n">
        <v>291</v>
      </c>
    </row>
    <row r="257" customFormat="false" ht="15" hidden="false" customHeight="false" outlineLevel="0" collapsed="false">
      <c r="A257" s="8" t="n">
        <v>45547</v>
      </c>
      <c r="B257" s="3" t="n">
        <v>39533</v>
      </c>
      <c r="C257" s="3" t="n">
        <v>3848</v>
      </c>
      <c r="D257" s="3" t="n">
        <v>455</v>
      </c>
      <c r="E257" s="3" t="n">
        <v>30</v>
      </c>
      <c r="F257" s="4" t="n">
        <v>84.47</v>
      </c>
      <c r="G257" s="3" t="n">
        <v>1</v>
      </c>
      <c r="H257" s="3" t="n">
        <v>425</v>
      </c>
    </row>
    <row r="258" customFormat="false" ht="15" hidden="false" customHeight="false" outlineLevel="0" collapsed="false">
      <c r="A258" s="8" t="n">
        <v>45548</v>
      </c>
      <c r="B258" s="3" t="n">
        <v>38021</v>
      </c>
      <c r="C258" s="3" t="n">
        <v>3736</v>
      </c>
      <c r="D258" s="3" t="n">
        <v>398</v>
      </c>
      <c r="E258" s="3" t="n">
        <v>49</v>
      </c>
      <c r="F258" s="4" t="n">
        <v>98.38</v>
      </c>
      <c r="G258" s="3" t="n">
        <v>1</v>
      </c>
      <c r="H258" s="3" t="n">
        <v>349</v>
      </c>
    </row>
    <row r="259" customFormat="false" ht="15" hidden="false" customHeight="false" outlineLevel="0" collapsed="false">
      <c r="A259" s="8" t="n">
        <v>45549</v>
      </c>
      <c r="B259" s="3" t="n">
        <v>39753</v>
      </c>
      <c r="C259" s="3" t="n">
        <v>3769</v>
      </c>
      <c r="D259" s="3" t="n">
        <v>405</v>
      </c>
      <c r="E259" s="3" t="n">
        <v>32</v>
      </c>
      <c r="F259" s="4" t="n">
        <v>84.63</v>
      </c>
      <c r="G259" s="3" t="n">
        <v>0</v>
      </c>
      <c r="H259" s="3" t="n">
        <v>373</v>
      </c>
    </row>
    <row r="260" customFormat="false" ht="15" hidden="false" customHeight="false" outlineLevel="0" collapsed="false">
      <c r="A260" s="8" t="n">
        <v>45550</v>
      </c>
      <c r="B260" s="3" t="n">
        <v>41012</v>
      </c>
      <c r="C260" s="3" t="n">
        <v>4062</v>
      </c>
      <c r="D260" s="3" t="n">
        <v>512</v>
      </c>
      <c r="E260" s="3" t="n">
        <v>25</v>
      </c>
      <c r="F260" s="4" t="n">
        <v>92.65</v>
      </c>
      <c r="G260" s="3" t="n">
        <v>1</v>
      </c>
      <c r="H260" s="3" t="n">
        <v>487</v>
      </c>
    </row>
    <row r="261" customFormat="false" ht="15" hidden="false" customHeight="false" outlineLevel="0" collapsed="false">
      <c r="A261" s="8" t="n">
        <v>45551</v>
      </c>
      <c r="B261" s="3" t="n">
        <v>30792</v>
      </c>
      <c r="C261" s="3" t="n">
        <v>2930</v>
      </c>
      <c r="D261" s="3" t="n">
        <v>421</v>
      </c>
      <c r="E261" s="3" t="n">
        <v>24</v>
      </c>
      <c r="F261" s="4" t="n">
        <v>85.59</v>
      </c>
      <c r="G261" s="3" t="n">
        <v>1</v>
      </c>
      <c r="H261" s="3" t="n">
        <v>397</v>
      </c>
    </row>
    <row r="262" customFormat="false" ht="15" hidden="false" customHeight="false" outlineLevel="0" collapsed="false">
      <c r="A262" s="8" t="n">
        <v>45552</v>
      </c>
      <c r="B262" s="3" t="n">
        <v>35366</v>
      </c>
      <c r="C262" s="3" t="n">
        <v>3381</v>
      </c>
      <c r="D262" s="3" t="n">
        <v>507</v>
      </c>
      <c r="E262" s="3" t="n">
        <v>25</v>
      </c>
      <c r="F262" s="4" t="n">
        <v>92.29</v>
      </c>
      <c r="G262" s="3" t="n">
        <v>1</v>
      </c>
      <c r="H262" s="3" t="n">
        <v>482</v>
      </c>
    </row>
    <row r="263" customFormat="false" ht="15" hidden="false" customHeight="false" outlineLevel="0" collapsed="false">
      <c r="A263" s="8" t="n">
        <v>45553</v>
      </c>
      <c r="B263" s="3" t="n">
        <v>35320</v>
      </c>
      <c r="C263" s="3" t="n">
        <v>3621</v>
      </c>
      <c r="D263" s="3" t="n">
        <v>471</v>
      </c>
      <c r="E263" s="3" t="n">
        <v>26</v>
      </c>
      <c r="F263" s="4" t="n">
        <v>84.92</v>
      </c>
      <c r="G263" s="3" t="n">
        <v>1</v>
      </c>
      <c r="H263" s="3" t="n">
        <v>445</v>
      </c>
    </row>
    <row r="264" customFormat="false" ht="15" hidden="false" customHeight="false" outlineLevel="0" collapsed="false">
      <c r="A264" s="8" t="n">
        <v>45554</v>
      </c>
      <c r="B264" s="3" t="n">
        <v>37576</v>
      </c>
      <c r="C264" s="3" t="n">
        <v>3501</v>
      </c>
      <c r="D264" s="3" t="n">
        <v>405</v>
      </c>
      <c r="E264" s="3" t="n">
        <v>25</v>
      </c>
      <c r="F264" s="4" t="n">
        <v>83.19</v>
      </c>
      <c r="G264" s="3" t="n">
        <v>0</v>
      </c>
      <c r="H264" s="3" t="n">
        <v>380</v>
      </c>
    </row>
    <row r="265" customFormat="false" ht="15" hidden="false" customHeight="false" outlineLevel="0" collapsed="false">
      <c r="A265" s="8" t="n">
        <v>45555</v>
      </c>
      <c r="B265" s="3" t="n">
        <v>34258</v>
      </c>
      <c r="C265" s="3" t="n">
        <v>3009</v>
      </c>
      <c r="D265" s="3" t="n">
        <v>396</v>
      </c>
      <c r="E265" s="3" t="n">
        <v>37</v>
      </c>
      <c r="F265" s="4" t="n">
        <v>78.42</v>
      </c>
      <c r="G265" s="3" t="n">
        <v>0</v>
      </c>
      <c r="H265" s="3" t="n">
        <v>359</v>
      </c>
    </row>
    <row r="266" customFormat="false" ht="15" hidden="false" customHeight="false" outlineLevel="0" collapsed="false">
      <c r="A266" s="8" t="n">
        <v>45556</v>
      </c>
      <c r="B266" s="3" t="n">
        <v>44656</v>
      </c>
      <c r="C266" s="3" t="n">
        <v>4621</v>
      </c>
      <c r="D266" s="3" t="n">
        <v>549</v>
      </c>
      <c r="E266" s="3" t="n">
        <v>17</v>
      </c>
      <c r="F266" s="4" t="n">
        <v>107.33</v>
      </c>
      <c r="G266" s="3" t="n">
        <v>1</v>
      </c>
      <c r="H266" s="3" t="n">
        <v>532</v>
      </c>
    </row>
    <row r="267" customFormat="false" ht="15" hidden="false" customHeight="false" outlineLevel="0" collapsed="false">
      <c r="A267" s="8" t="n">
        <v>45557</v>
      </c>
      <c r="B267" s="3" t="n">
        <v>47751</v>
      </c>
      <c r="C267" s="3" t="n">
        <v>5115</v>
      </c>
      <c r="D267" s="3" t="n">
        <v>533</v>
      </c>
      <c r="E267" s="3" t="n">
        <v>36</v>
      </c>
      <c r="F267" s="4" t="n">
        <v>114.5</v>
      </c>
      <c r="G267" s="3" t="n">
        <v>0</v>
      </c>
      <c r="H267" s="3" t="n">
        <v>497</v>
      </c>
    </row>
    <row r="268" customFormat="false" ht="15" hidden="false" customHeight="false" outlineLevel="0" collapsed="false">
      <c r="A268" s="8" t="n">
        <v>45558</v>
      </c>
      <c r="B268" s="3" t="n">
        <v>37540</v>
      </c>
      <c r="C268" s="3" t="n">
        <v>3590</v>
      </c>
      <c r="D268" s="3" t="n">
        <v>419</v>
      </c>
      <c r="E268" s="3" t="n">
        <v>25</v>
      </c>
      <c r="F268" s="4" t="n">
        <v>89.14</v>
      </c>
      <c r="G268" s="3" t="n">
        <v>1</v>
      </c>
      <c r="H268" s="3" t="n">
        <v>394</v>
      </c>
    </row>
    <row r="269" customFormat="false" ht="15" hidden="false" customHeight="false" outlineLevel="0" collapsed="false">
      <c r="A269" s="8" t="n">
        <v>45559</v>
      </c>
      <c r="B269" s="3" t="n">
        <v>38514</v>
      </c>
      <c r="C269" s="3" t="n">
        <v>3454</v>
      </c>
      <c r="D269" s="3" t="n">
        <v>477</v>
      </c>
      <c r="E269" s="3" t="n">
        <v>31</v>
      </c>
      <c r="F269" s="4" t="n">
        <v>91.95</v>
      </c>
      <c r="G269" s="3" t="n">
        <v>1</v>
      </c>
      <c r="H269" s="3" t="n">
        <v>446</v>
      </c>
    </row>
    <row r="270" customFormat="false" ht="15" hidden="false" customHeight="false" outlineLevel="0" collapsed="false">
      <c r="A270" s="8" t="n">
        <v>45560</v>
      </c>
      <c r="B270" s="3" t="n">
        <v>37235</v>
      </c>
      <c r="C270" s="3" t="n">
        <v>3575</v>
      </c>
      <c r="D270" s="3" t="n">
        <v>404</v>
      </c>
      <c r="E270" s="3" t="n">
        <v>20</v>
      </c>
      <c r="F270" s="4" t="n">
        <v>87.64</v>
      </c>
      <c r="G270" s="3" t="n">
        <v>0</v>
      </c>
      <c r="H270" s="3" t="n">
        <v>384</v>
      </c>
    </row>
    <row r="271" customFormat="false" ht="15" hidden="false" customHeight="false" outlineLevel="0" collapsed="false">
      <c r="A271" s="8" t="n">
        <v>45561</v>
      </c>
      <c r="B271" s="3" t="n">
        <v>37075</v>
      </c>
      <c r="C271" s="3" t="n">
        <v>3563</v>
      </c>
      <c r="D271" s="3" t="n">
        <v>364</v>
      </c>
      <c r="E271" s="3" t="n">
        <v>42</v>
      </c>
      <c r="F271" s="4" t="n">
        <v>79.14</v>
      </c>
      <c r="G271" s="3" t="n">
        <v>1</v>
      </c>
      <c r="H271" s="3" t="n">
        <v>322</v>
      </c>
    </row>
    <row r="272" customFormat="false" ht="15" hidden="false" customHeight="false" outlineLevel="0" collapsed="false">
      <c r="A272" s="8" t="n">
        <v>45562</v>
      </c>
      <c r="B272" s="3" t="n">
        <v>34069</v>
      </c>
      <c r="C272" s="3" t="n">
        <v>3287</v>
      </c>
      <c r="D272" s="3" t="n">
        <v>351</v>
      </c>
      <c r="E272" s="3" t="n">
        <v>41</v>
      </c>
      <c r="F272" s="4" t="n">
        <v>78.36</v>
      </c>
      <c r="G272" s="3" t="n">
        <v>0</v>
      </c>
      <c r="H272" s="3" t="n">
        <v>310</v>
      </c>
    </row>
    <row r="273" customFormat="false" ht="15" hidden="false" customHeight="false" outlineLevel="0" collapsed="false">
      <c r="A273" s="8" t="n">
        <v>45563</v>
      </c>
      <c r="B273" s="3" t="n">
        <v>44467</v>
      </c>
      <c r="C273" s="3" t="n">
        <v>4130</v>
      </c>
      <c r="D273" s="3" t="n">
        <v>536</v>
      </c>
      <c r="E273" s="3" t="n">
        <v>38</v>
      </c>
      <c r="F273" s="4" t="n">
        <v>114.74</v>
      </c>
      <c r="G273" s="3" t="n">
        <v>1</v>
      </c>
      <c r="H273" s="3" t="n">
        <v>498</v>
      </c>
    </row>
    <row r="274" customFormat="false" ht="15" hidden="false" customHeight="false" outlineLevel="0" collapsed="false">
      <c r="A274" s="8" t="n">
        <v>45564</v>
      </c>
      <c r="B274" s="3" t="n">
        <v>42399</v>
      </c>
      <c r="C274" s="3" t="n">
        <v>4217</v>
      </c>
      <c r="D274" s="3" t="n">
        <v>465</v>
      </c>
      <c r="E274" s="3" t="n">
        <v>18</v>
      </c>
      <c r="F274" s="4" t="n">
        <v>91.19</v>
      </c>
      <c r="G274" s="3" t="n">
        <v>1</v>
      </c>
      <c r="H274" s="3" t="n">
        <v>447</v>
      </c>
    </row>
    <row r="275" customFormat="false" ht="15" hidden="false" customHeight="false" outlineLevel="0" collapsed="false">
      <c r="A275" s="8" t="n">
        <v>45565</v>
      </c>
      <c r="B275" s="3" t="n">
        <v>48051</v>
      </c>
      <c r="C275" s="3" t="n">
        <v>4769</v>
      </c>
      <c r="D275" s="3" t="n">
        <v>554</v>
      </c>
      <c r="E275" s="3" t="n">
        <v>37</v>
      </c>
      <c r="F275" s="4" t="n">
        <v>113.62</v>
      </c>
      <c r="G275" s="3" t="n">
        <v>0</v>
      </c>
      <c r="H275" s="3" t="n">
        <v>517</v>
      </c>
    </row>
    <row r="276" customFormat="false" ht="15" hidden="false" customHeight="false" outlineLevel="0" collapsed="false">
      <c r="A276" s="8" t="n">
        <v>45566</v>
      </c>
      <c r="B276" s="3" t="n">
        <v>45237</v>
      </c>
      <c r="C276" s="3" t="n">
        <v>4135</v>
      </c>
      <c r="D276" s="3" t="n">
        <v>548</v>
      </c>
      <c r="E276" s="3" t="n">
        <v>32</v>
      </c>
      <c r="F276" s="4" t="n">
        <v>101.76</v>
      </c>
      <c r="G276" s="3" t="n">
        <v>1</v>
      </c>
      <c r="H276" s="3" t="n">
        <v>516</v>
      </c>
    </row>
    <row r="277" customFormat="false" ht="15" hidden="false" customHeight="false" outlineLevel="0" collapsed="false">
      <c r="A277" s="8" t="n">
        <v>45567</v>
      </c>
      <c r="B277" s="3" t="n">
        <v>39308</v>
      </c>
      <c r="C277" s="3" t="n">
        <v>3928</v>
      </c>
      <c r="D277" s="3" t="n">
        <v>407</v>
      </c>
      <c r="E277" s="3" t="n">
        <v>18</v>
      </c>
      <c r="F277" s="4" t="n">
        <v>95.31</v>
      </c>
      <c r="G277" s="3" t="n">
        <v>1</v>
      </c>
      <c r="H277" s="3" t="n">
        <v>389</v>
      </c>
    </row>
    <row r="278" customFormat="false" ht="15" hidden="false" customHeight="false" outlineLevel="0" collapsed="false">
      <c r="A278" s="8" t="n">
        <v>45568</v>
      </c>
      <c r="B278" s="3" t="n">
        <v>34315</v>
      </c>
      <c r="C278" s="3" t="n">
        <v>3610</v>
      </c>
      <c r="D278" s="3" t="n">
        <v>421</v>
      </c>
      <c r="E278" s="3" t="n">
        <v>28</v>
      </c>
      <c r="F278" s="4" t="n">
        <v>79.98</v>
      </c>
      <c r="G278" s="3" t="n">
        <v>1</v>
      </c>
      <c r="H278" s="3" t="n">
        <v>393</v>
      </c>
    </row>
    <row r="279" customFormat="false" ht="15" hidden="false" customHeight="false" outlineLevel="0" collapsed="false">
      <c r="A279" s="8" t="n">
        <v>45569</v>
      </c>
      <c r="B279" s="3" t="n">
        <v>32973</v>
      </c>
      <c r="C279" s="3" t="n">
        <v>3227</v>
      </c>
      <c r="D279" s="3" t="n">
        <v>382</v>
      </c>
      <c r="E279" s="3" t="n">
        <v>32</v>
      </c>
      <c r="F279" s="4" t="n">
        <v>89.28</v>
      </c>
      <c r="G279" s="3" t="n">
        <v>0</v>
      </c>
      <c r="H279" s="3" t="n">
        <v>350</v>
      </c>
    </row>
    <row r="280" customFormat="false" ht="15" hidden="false" customHeight="false" outlineLevel="0" collapsed="false">
      <c r="A280" s="8" t="n">
        <v>45570</v>
      </c>
      <c r="B280" s="3" t="n">
        <v>50093</v>
      </c>
      <c r="C280" s="3" t="n">
        <v>4804</v>
      </c>
      <c r="D280" s="3" t="n">
        <v>456</v>
      </c>
      <c r="E280" s="3" t="n">
        <v>34</v>
      </c>
      <c r="F280" s="4" t="n">
        <v>125.56</v>
      </c>
      <c r="G280" s="3" t="n">
        <v>0</v>
      </c>
      <c r="H280" s="3" t="n">
        <v>422</v>
      </c>
    </row>
    <row r="281" customFormat="false" ht="15" hidden="false" customHeight="false" outlineLevel="0" collapsed="false">
      <c r="A281" s="8" t="n">
        <v>45571</v>
      </c>
      <c r="B281" s="3" t="n">
        <v>44902</v>
      </c>
      <c r="C281" s="3" t="n">
        <v>4340</v>
      </c>
      <c r="D281" s="3" t="n">
        <v>611</v>
      </c>
      <c r="E281" s="3" t="n">
        <v>30</v>
      </c>
      <c r="F281" s="4" t="n">
        <v>97.36</v>
      </c>
      <c r="G281" s="3" t="n">
        <v>0</v>
      </c>
      <c r="H281" s="3" t="n">
        <v>581</v>
      </c>
    </row>
    <row r="282" customFormat="false" ht="15" hidden="false" customHeight="false" outlineLevel="0" collapsed="false">
      <c r="A282" s="8" t="n">
        <v>45572</v>
      </c>
      <c r="B282" s="3" t="n">
        <v>40157</v>
      </c>
      <c r="C282" s="3" t="n">
        <v>4000</v>
      </c>
      <c r="D282" s="3" t="n">
        <v>408</v>
      </c>
      <c r="E282" s="3" t="n">
        <v>32</v>
      </c>
      <c r="F282" s="4" t="n">
        <v>102.1</v>
      </c>
      <c r="G282" s="3" t="n">
        <v>0</v>
      </c>
      <c r="H282" s="3" t="n">
        <v>376</v>
      </c>
    </row>
    <row r="283" customFormat="false" ht="15" hidden="false" customHeight="false" outlineLevel="0" collapsed="false">
      <c r="A283" s="8" t="n">
        <v>45573</v>
      </c>
      <c r="B283" s="3" t="n">
        <v>30810</v>
      </c>
      <c r="C283" s="3" t="n">
        <v>2788</v>
      </c>
      <c r="D283" s="3" t="n">
        <v>263</v>
      </c>
      <c r="E283" s="3" t="n">
        <v>45</v>
      </c>
      <c r="F283" s="4" t="n">
        <v>69.81</v>
      </c>
      <c r="G283" s="3" t="n">
        <v>1</v>
      </c>
      <c r="H283" s="3" t="n">
        <v>218</v>
      </c>
    </row>
    <row r="284" customFormat="false" ht="15" hidden="false" customHeight="false" outlineLevel="0" collapsed="false">
      <c r="A284" s="8" t="n">
        <v>45574</v>
      </c>
      <c r="B284" s="3" t="n">
        <v>42541</v>
      </c>
      <c r="C284" s="3" t="n">
        <v>4163</v>
      </c>
      <c r="D284" s="3" t="n">
        <v>398</v>
      </c>
      <c r="E284" s="3" t="n">
        <v>42</v>
      </c>
      <c r="F284" s="4" t="n">
        <v>97.98</v>
      </c>
      <c r="G284" s="3" t="n">
        <v>0</v>
      </c>
      <c r="H284" s="3" t="n">
        <v>356</v>
      </c>
    </row>
    <row r="285" customFormat="false" ht="15" hidden="false" customHeight="false" outlineLevel="0" collapsed="false">
      <c r="A285" s="8" t="n">
        <v>45575</v>
      </c>
      <c r="B285" s="3" t="n">
        <v>40274</v>
      </c>
      <c r="C285" s="3" t="n">
        <v>3854</v>
      </c>
      <c r="D285" s="3" t="n">
        <v>379</v>
      </c>
      <c r="E285" s="3" t="n">
        <v>12</v>
      </c>
      <c r="F285" s="4" t="n">
        <v>99.66</v>
      </c>
      <c r="G285" s="3" t="n">
        <v>1</v>
      </c>
      <c r="H285" s="3" t="n">
        <v>367</v>
      </c>
    </row>
    <row r="286" customFormat="false" ht="15" hidden="false" customHeight="false" outlineLevel="0" collapsed="false">
      <c r="A286" s="8" t="n">
        <v>45576</v>
      </c>
      <c r="B286" s="3" t="n">
        <v>33445</v>
      </c>
      <c r="C286" s="3" t="n">
        <v>3492</v>
      </c>
      <c r="D286" s="3" t="n">
        <v>369</v>
      </c>
      <c r="E286" s="3" t="n">
        <v>26</v>
      </c>
      <c r="F286" s="4" t="n">
        <v>77.64</v>
      </c>
      <c r="G286" s="3" t="n">
        <v>1</v>
      </c>
      <c r="H286" s="3" t="n">
        <v>343</v>
      </c>
    </row>
    <row r="287" customFormat="false" ht="15" hidden="false" customHeight="false" outlineLevel="0" collapsed="false">
      <c r="A287" s="8" t="n">
        <v>45577</v>
      </c>
      <c r="B287" s="3" t="n">
        <v>41609</v>
      </c>
      <c r="C287" s="3" t="n">
        <v>4017</v>
      </c>
      <c r="D287" s="3" t="n">
        <v>438</v>
      </c>
      <c r="E287" s="3" t="n">
        <v>28</v>
      </c>
      <c r="F287" s="4" t="n">
        <v>107.96</v>
      </c>
      <c r="G287" s="3" t="n">
        <v>0</v>
      </c>
      <c r="H287" s="3" t="n">
        <v>410</v>
      </c>
    </row>
    <row r="288" customFormat="false" ht="15" hidden="false" customHeight="false" outlineLevel="0" collapsed="false">
      <c r="A288" s="8" t="n">
        <v>45578</v>
      </c>
      <c r="B288" s="3" t="n">
        <v>45537</v>
      </c>
      <c r="C288" s="3" t="n">
        <v>4722</v>
      </c>
      <c r="D288" s="3" t="n">
        <v>474</v>
      </c>
      <c r="E288" s="3" t="n">
        <v>17</v>
      </c>
      <c r="F288" s="4" t="n">
        <v>103.45</v>
      </c>
      <c r="G288" s="3" t="n">
        <v>0</v>
      </c>
      <c r="H288" s="3" t="n">
        <v>457</v>
      </c>
    </row>
    <row r="289" customFormat="false" ht="15" hidden="false" customHeight="false" outlineLevel="0" collapsed="false">
      <c r="A289" s="8" t="n">
        <v>45579</v>
      </c>
      <c r="B289" s="3" t="n">
        <v>38683</v>
      </c>
      <c r="C289" s="3" t="n">
        <v>3594</v>
      </c>
      <c r="D289" s="3" t="n">
        <v>465</v>
      </c>
      <c r="E289" s="3" t="n">
        <v>30</v>
      </c>
      <c r="F289" s="4" t="n">
        <v>89.03</v>
      </c>
      <c r="G289" s="3" t="n">
        <v>0</v>
      </c>
      <c r="H289" s="3" t="n">
        <v>435</v>
      </c>
    </row>
    <row r="290" customFormat="false" ht="15" hidden="false" customHeight="false" outlineLevel="0" collapsed="false">
      <c r="A290" s="8" t="n">
        <v>45580</v>
      </c>
      <c r="B290" s="3" t="n">
        <v>37189</v>
      </c>
      <c r="C290" s="3" t="n">
        <v>3700</v>
      </c>
      <c r="D290" s="3" t="n">
        <v>429</v>
      </c>
      <c r="E290" s="3" t="n">
        <v>43</v>
      </c>
      <c r="F290" s="4" t="n">
        <v>85.38</v>
      </c>
      <c r="G290" s="3" t="n">
        <v>1</v>
      </c>
      <c r="H290" s="3" t="n">
        <v>386</v>
      </c>
    </row>
    <row r="291" customFormat="false" ht="15" hidden="false" customHeight="false" outlineLevel="0" collapsed="false">
      <c r="A291" s="8" t="n">
        <v>45581</v>
      </c>
      <c r="B291" s="3" t="n">
        <v>38116</v>
      </c>
      <c r="C291" s="3" t="n">
        <v>3753</v>
      </c>
      <c r="D291" s="3" t="n">
        <v>438</v>
      </c>
      <c r="E291" s="3" t="n">
        <v>21</v>
      </c>
      <c r="F291" s="4" t="n">
        <v>88.19</v>
      </c>
      <c r="G291" s="3" t="n">
        <v>1</v>
      </c>
      <c r="H291" s="3" t="n">
        <v>417</v>
      </c>
    </row>
    <row r="292" customFormat="false" ht="15" hidden="false" customHeight="false" outlineLevel="0" collapsed="false">
      <c r="A292" s="8" t="n">
        <v>45582</v>
      </c>
      <c r="B292" s="3" t="n">
        <v>82535</v>
      </c>
      <c r="C292" s="3" t="n">
        <v>7745</v>
      </c>
      <c r="D292" s="3" t="n">
        <v>962</v>
      </c>
      <c r="E292" s="3" t="n">
        <v>33</v>
      </c>
      <c r="F292" s="4" t="n">
        <v>218.27</v>
      </c>
      <c r="G292" s="3" t="n">
        <v>1</v>
      </c>
      <c r="H292" s="3" t="n">
        <v>929</v>
      </c>
    </row>
    <row r="293" customFormat="false" ht="15" hidden="false" customHeight="false" outlineLevel="0" collapsed="false">
      <c r="A293" s="8" t="n">
        <v>45583</v>
      </c>
      <c r="B293" s="3" t="n">
        <v>78130</v>
      </c>
      <c r="C293" s="3" t="n">
        <v>7649</v>
      </c>
      <c r="D293" s="3" t="n">
        <v>939</v>
      </c>
      <c r="E293" s="3" t="n">
        <v>22</v>
      </c>
      <c r="F293" s="4" t="n">
        <v>199.1</v>
      </c>
      <c r="G293" s="3" t="n">
        <v>0</v>
      </c>
      <c r="H293" s="3" t="n">
        <v>917</v>
      </c>
    </row>
    <row r="294" customFormat="false" ht="15" hidden="false" customHeight="false" outlineLevel="0" collapsed="false">
      <c r="A294" s="8" t="n">
        <v>45584</v>
      </c>
      <c r="B294" s="3" t="n">
        <v>93745</v>
      </c>
      <c r="C294" s="3" t="n">
        <v>9555</v>
      </c>
      <c r="D294" s="3" t="n">
        <v>749</v>
      </c>
      <c r="E294" s="3" t="n">
        <v>24</v>
      </c>
      <c r="F294" s="4" t="n">
        <v>260.58</v>
      </c>
      <c r="G294" s="3" t="n">
        <v>0</v>
      </c>
      <c r="H294" s="3" t="n">
        <v>725</v>
      </c>
    </row>
    <row r="295" customFormat="false" ht="15" hidden="false" customHeight="false" outlineLevel="0" collapsed="false">
      <c r="A295" s="8" t="n">
        <v>45585</v>
      </c>
      <c r="B295" s="3" t="n">
        <v>50624</v>
      </c>
      <c r="C295" s="3" t="n">
        <v>4858</v>
      </c>
      <c r="D295" s="3" t="n">
        <v>525</v>
      </c>
      <c r="E295" s="3" t="n">
        <v>46</v>
      </c>
      <c r="F295" s="4" t="n">
        <v>147.23</v>
      </c>
      <c r="G295" s="3" t="n">
        <v>0</v>
      </c>
      <c r="H295" s="3" t="n">
        <v>479</v>
      </c>
    </row>
    <row r="296" customFormat="false" ht="15" hidden="false" customHeight="false" outlineLevel="0" collapsed="false">
      <c r="A296" s="8" t="n">
        <v>45586</v>
      </c>
      <c r="B296" s="3" t="n">
        <v>50001</v>
      </c>
      <c r="C296" s="3" t="n">
        <v>4532</v>
      </c>
      <c r="D296" s="3" t="n">
        <v>395</v>
      </c>
      <c r="E296" s="3" t="n">
        <v>25</v>
      </c>
      <c r="F296" s="4" t="n">
        <v>111.75</v>
      </c>
      <c r="G296" s="3" t="n">
        <v>0</v>
      </c>
      <c r="H296" s="3" t="n">
        <v>370</v>
      </c>
    </row>
    <row r="297" customFormat="false" ht="15" hidden="false" customHeight="false" outlineLevel="0" collapsed="false">
      <c r="A297" s="8" t="n">
        <v>45587</v>
      </c>
      <c r="B297" s="3" t="n">
        <v>43871</v>
      </c>
      <c r="C297" s="3" t="n">
        <v>4262</v>
      </c>
      <c r="D297" s="3" t="n">
        <v>483</v>
      </c>
      <c r="E297" s="3" t="n">
        <v>34</v>
      </c>
      <c r="F297" s="4" t="n">
        <v>107.13</v>
      </c>
      <c r="G297" s="3" t="n">
        <v>1</v>
      </c>
      <c r="H297" s="3" t="n">
        <v>449</v>
      </c>
    </row>
    <row r="298" customFormat="false" ht="15" hidden="false" customHeight="false" outlineLevel="0" collapsed="false">
      <c r="A298" s="8" t="n">
        <v>45588</v>
      </c>
      <c r="B298" s="3" t="n">
        <v>40538</v>
      </c>
      <c r="C298" s="3" t="n">
        <v>3799</v>
      </c>
      <c r="D298" s="3" t="n">
        <v>444</v>
      </c>
      <c r="E298" s="3" t="n">
        <v>17</v>
      </c>
      <c r="F298" s="4" t="n">
        <v>89.64</v>
      </c>
      <c r="G298" s="3" t="n">
        <v>1</v>
      </c>
      <c r="H298" s="3" t="n">
        <v>427</v>
      </c>
    </row>
    <row r="299" customFormat="false" ht="15" hidden="false" customHeight="false" outlineLevel="0" collapsed="false">
      <c r="A299" s="8" t="n">
        <v>45589</v>
      </c>
      <c r="B299" s="3" t="n">
        <v>37488</v>
      </c>
      <c r="C299" s="3" t="n">
        <v>3594</v>
      </c>
      <c r="D299" s="3" t="n">
        <v>480</v>
      </c>
      <c r="E299" s="3" t="n">
        <v>52</v>
      </c>
      <c r="F299" s="4" t="n">
        <v>85.63</v>
      </c>
      <c r="G299" s="3" t="n">
        <v>0</v>
      </c>
      <c r="H299" s="3" t="n">
        <v>428</v>
      </c>
    </row>
    <row r="300" customFormat="false" ht="15" hidden="false" customHeight="false" outlineLevel="0" collapsed="false">
      <c r="A300" s="8" t="n">
        <v>45590</v>
      </c>
      <c r="B300" s="3" t="n">
        <v>31810</v>
      </c>
      <c r="C300" s="3" t="n">
        <v>3082</v>
      </c>
      <c r="D300" s="3" t="n">
        <v>416</v>
      </c>
      <c r="E300" s="3" t="n">
        <v>36</v>
      </c>
      <c r="F300" s="4" t="n">
        <v>73.56</v>
      </c>
      <c r="G300" s="3" t="n">
        <v>0</v>
      </c>
      <c r="H300" s="3" t="n">
        <v>380</v>
      </c>
    </row>
    <row r="301" customFormat="false" ht="15" hidden="false" customHeight="false" outlineLevel="0" collapsed="false">
      <c r="A301" s="8" t="n">
        <v>45591</v>
      </c>
      <c r="B301" s="3" t="n">
        <v>47070</v>
      </c>
      <c r="C301" s="3" t="n">
        <v>4264</v>
      </c>
      <c r="D301" s="3" t="n">
        <v>532</v>
      </c>
      <c r="E301" s="3" t="n">
        <v>28</v>
      </c>
      <c r="F301" s="4" t="n">
        <v>105.24</v>
      </c>
      <c r="G301" s="3" t="n">
        <v>0</v>
      </c>
      <c r="H301" s="3" t="n">
        <v>504</v>
      </c>
    </row>
    <row r="302" customFormat="false" ht="15" hidden="false" customHeight="false" outlineLevel="0" collapsed="false">
      <c r="A302" s="8" t="n">
        <v>45592</v>
      </c>
      <c r="B302" s="3" t="n">
        <v>55784</v>
      </c>
      <c r="C302" s="3" t="n">
        <v>5073</v>
      </c>
      <c r="D302" s="3" t="n">
        <v>567</v>
      </c>
      <c r="E302" s="3" t="n">
        <v>36</v>
      </c>
      <c r="F302" s="4" t="n">
        <v>124.85</v>
      </c>
      <c r="G302" s="3" t="n">
        <v>0</v>
      </c>
      <c r="H302" s="3" t="n">
        <v>531</v>
      </c>
    </row>
    <row r="303" customFormat="false" ht="15" hidden="false" customHeight="false" outlineLevel="0" collapsed="false">
      <c r="A303" s="8" t="n">
        <v>45593</v>
      </c>
      <c r="B303" s="3" t="n">
        <v>32861</v>
      </c>
      <c r="C303" s="3" t="n">
        <v>3256</v>
      </c>
      <c r="D303" s="3" t="n">
        <v>387</v>
      </c>
      <c r="E303" s="3" t="n">
        <v>20</v>
      </c>
      <c r="F303" s="4" t="n">
        <v>79.12</v>
      </c>
      <c r="G303" s="3" t="n">
        <v>0</v>
      </c>
      <c r="H303" s="3" t="n">
        <v>367</v>
      </c>
    </row>
    <row r="304" customFormat="false" ht="15" hidden="false" customHeight="false" outlineLevel="0" collapsed="false">
      <c r="A304" s="8" t="n">
        <v>45594</v>
      </c>
      <c r="B304" s="3" t="n">
        <v>43901</v>
      </c>
      <c r="C304" s="3" t="n">
        <v>4179</v>
      </c>
      <c r="D304" s="3" t="n">
        <v>444</v>
      </c>
      <c r="E304" s="3" t="n">
        <v>43</v>
      </c>
      <c r="F304" s="4" t="n">
        <v>97.06</v>
      </c>
      <c r="G304" s="3" t="n">
        <v>0</v>
      </c>
      <c r="H304" s="3" t="n">
        <v>401</v>
      </c>
    </row>
    <row r="305" customFormat="false" ht="15" hidden="false" customHeight="false" outlineLevel="0" collapsed="false">
      <c r="A305" s="8" t="n">
        <v>45595</v>
      </c>
      <c r="B305" s="3" t="n">
        <v>38121</v>
      </c>
      <c r="C305" s="3" t="n">
        <v>3326</v>
      </c>
      <c r="D305" s="3" t="n">
        <v>418</v>
      </c>
      <c r="E305" s="3" t="n">
        <v>27</v>
      </c>
      <c r="F305" s="4" t="n">
        <v>99.43</v>
      </c>
      <c r="G305" s="3" t="n">
        <v>1</v>
      </c>
      <c r="H305" s="3" t="n">
        <v>391</v>
      </c>
    </row>
    <row r="306" customFormat="false" ht="15" hidden="false" customHeight="false" outlineLevel="0" collapsed="false">
      <c r="A306" s="8" t="n">
        <v>45596</v>
      </c>
      <c r="B306" s="3" t="n">
        <v>39439</v>
      </c>
      <c r="C306" s="3" t="n">
        <v>3954</v>
      </c>
      <c r="D306" s="3" t="n">
        <v>501</v>
      </c>
      <c r="E306" s="3" t="n">
        <v>28</v>
      </c>
      <c r="F306" s="4" t="n">
        <v>89.4</v>
      </c>
      <c r="G306" s="3" t="n">
        <v>1</v>
      </c>
      <c r="H306" s="3" t="n">
        <v>473</v>
      </c>
    </row>
    <row r="307" customFormat="false" ht="15" hidden="false" customHeight="false" outlineLevel="0" collapsed="false">
      <c r="A307" s="8" t="n">
        <v>45597</v>
      </c>
      <c r="B307" s="3" t="n">
        <v>35081</v>
      </c>
      <c r="C307" s="3" t="n">
        <v>3448</v>
      </c>
      <c r="D307" s="3" t="n">
        <v>353</v>
      </c>
      <c r="E307" s="3" t="n">
        <v>26</v>
      </c>
      <c r="F307" s="4" t="n">
        <v>107.2</v>
      </c>
      <c r="G307" s="3" t="n">
        <v>1</v>
      </c>
      <c r="H307" s="3" t="n">
        <v>327</v>
      </c>
    </row>
    <row r="308" customFormat="false" ht="15" hidden="false" customHeight="false" outlineLevel="0" collapsed="false">
      <c r="A308" s="8" t="n">
        <v>45598</v>
      </c>
      <c r="B308" s="3" t="n">
        <v>44060</v>
      </c>
      <c r="C308" s="3" t="n">
        <v>4161</v>
      </c>
      <c r="D308" s="3" t="n">
        <v>545</v>
      </c>
      <c r="E308" s="3" t="n">
        <v>26</v>
      </c>
      <c r="F308" s="4" t="n">
        <v>103.78</v>
      </c>
      <c r="G308" s="3" t="n">
        <v>1</v>
      </c>
      <c r="H308" s="3" t="n">
        <v>519</v>
      </c>
    </row>
    <row r="309" customFormat="false" ht="15" hidden="false" customHeight="false" outlineLevel="0" collapsed="false">
      <c r="A309" s="8" t="n">
        <v>45599</v>
      </c>
      <c r="B309" s="3" t="n">
        <v>53709</v>
      </c>
      <c r="C309" s="3" t="n">
        <v>4946</v>
      </c>
      <c r="D309" s="3" t="n">
        <v>651</v>
      </c>
      <c r="E309" s="3" t="n">
        <v>37</v>
      </c>
      <c r="F309" s="4" t="n">
        <v>131.98</v>
      </c>
      <c r="G309" s="3" t="n">
        <v>0</v>
      </c>
      <c r="H309" s="3" t="n">
        <v>614</v>
      </c>
    </row>
    <row r="310" customFormat="false" ht="15" hidden="false" customHeight="false" outlineLevel="0" collapsed="false">
      <c r="A310" s="8" t="n">
        <v>45600</v>
      </c>
      <c r="B310" s="3" t="n">
        <v>42933</v>
      </c>
      <c r="C310" s="3" t="n">
        <v>4313</v>
      </c>
      <c r="D310" s="3" t="n">
        <v>408</v>
      </c>
      <c r="E310" s="3" t="n">
        <v>33</v>
      </c>
      <c r="F310" s="4" t="n">
        <v>94.62</v>
      </c>
      <c r="G310" s="3" t="n">
        <v>0</v>
      </c>
      <c r="H310" s="3" t="n">
        <v>375</v>
      </c>
    </row>
    <row r="311" customFormat="false" ht="15" hidden="false" customHeight="false" outlineLevel="0" collapsed="false">
      <c r="A311" s="8" t="n">
        <v>45601</v>
      </c>
      <c r="B311" s="3" t="n">
        <v>49377</v>
      </c>
      <c r="C311" s="3" t="n">
        <v>4867</v>
      </c>
      <c r="D311" s="3" t="n">
        <v>626</v>
      </c>
      <c r="E311" s="3" t="n">
        <v>37</v>
      </c>
      <c r="F311" s="4" t="n">
        <v>138.42</v>
      </c>
      <c r="G311" s="3" t="n">
        <v>1</v>
      </c>
      <c r="H311" s="3" t="n">
        <v>589</v>
      </c>
    </row>
    <row r="312" customFormat="false" ht="15" hidden="false" customHeight="false" outlineLevel="0" collapsed="false">
      <c r="A312" s="8" t="n">
        <v>45602</v>
      </c>
      <c r="B312" s="3" t="n">
        <v>46284</v>
      </c>
      <c r="C312" s="3" t="n">
        <v>4928</v>
      </c>
      <c r="D312" s="3" t="n">
        <v>563</v>
      </c>
      <c r="E312" s="3" t="n">
        <v>31</v>
      </c>
      <c r="F312" s="4" t="n">
        <v>123.87</v>
      </c>
      <c r="G312" s="3" t="n">
        <v>1</v>
      </c>
      <c r="H312" s="3" t="n">
        <v>532</v>
      </c>
    </row>
    <row r="313" customFormat="false" ht="15" hidden="false" customHeight="false" outlineLevel="0" collapsed="false">
      <c r="A313" s="8" t="n">
        <v>45603</v>
      </c>
      <c r="B313" s="3" t="n">
        <v>42439</v>
      </c>
      <c r="C313" s="3" t="n">
        <v>4195</v>
      </c>
      <c r="D313" s="3" t="n">
        <v>472</v>
      </c>
      <c r="E313" s="3" t="n">
        <v>36</v>
      </c>
      <c r="F313" s="4" t="n">
        <v>106.4</v>
      </c>
      <c r="G313" s="3" t="n">
        <v>1</v>
      </c>
      <c r="H313" s="3" t="n">
        <v>436</v>
      </c>
    </row>
    <row r="314" customFormat="false" ht="15" hidden="false" customHeight="false" outlineLevel="0" collapsed="false">
      <c r="A314" s="8" t="n">
        <v>45604</v>
      </c>
      <c r="B314" s="3" t="n">
        <v>49727</v>
      </c>
      <c r="C314" s="3" t="n">
        <v>4909</v>
      </c>
      <c r="D314" s="3" t="n">
        <v>486</v>
      </c>
      <c r="E314" s="3" t="n">
        <v>27</v>
      </c>
      <c r="F314" s="4" t="n">
        <v>109.36</v>
      </c>
      <c r="G314" s="3" t="n">
        <v>0</v>
      </c>
      <c r="H314" s="3" t="n">
        <v>459</v>
      </c>
    </row>
    <row r="315" customFormat="false" ht="15" hidden="false" customHeight="false" outlineLevel="0" collapsed="false">
      <c r="A315" s="8" t="n">
        <v>45605</v>
      </c>
      <c r="B315" s="3" t="n">
        <v>48989</v>
      </c>
      <c r="C315" s="3" t="n">
        <v>4731</v>
      </c>
      <c r="D315" s="3" t="n">
        <v>472</v>
      </c>
      <c r="E315" s="3" t="n">
        <v>60</v>
      </c>
      <c r="F315" s="4" t="n">
        <v>122.1</v>
      </c>
      <c r="G315" s="3" t="n">
        <v>1</v>
      </c>
      <c r="H315" s="3" t="n">
        <v>412</v>
      </c>
    </row>
    <row r="316" customFormat="false" ht="15" hidden="false" customHeight="false" outlineLevel="0" collapsed="false">
      <c r="A316" s="8" t="n">
        <v>45606</v>
      </c>
      <c r="B316" s="3" t="n">
        <v>51426</v>
      </c>
      <c r="C316" s="3" t="n">
        <v>5163</v>
      </c>
      <c r="D316" s="3" t="n">
        <v>520</v>
      </c>
      <c r="E316" s="3" t="n">
        <v>19</v>
      </c>
      <c r="F316" s="4" t="n">
        <v>115.28</v>
      </c>
      <c r="G316" s="3" t="n">
        <v>1</v>
      </c>
      <c r="H316" s="3" t="n">
        <v>501</v>
      </c>
    </row>
    <row r="317" customFormat="false" ht="15" hidden="false" customHeight="false" outlineLevel="0" collapsed="false">
      <c r="A317" s="8" t="n">
        <v>45607</v>
      </c>
      <c r="B317" s="3" t="n">
        <v>39146</v>
      </c>
      <c r="C317" s="3" t="n">
        <v>3901</v>
      </c>
      <c r="D317" s="3" t="n">
        <v>465</v>
      </c>
      <c r="E317" s="3" t="n">
        <v>45</v>
      </c>
      <c r="F317" s="4" t="n">
        <v>107.95</v>
      </c>
      <c r="G317" s="3" t="n">
        <v>0</v>
      </c>
      <c r="H317" s="3" t="n">
        <v>420</v>
      </c>
    </row>
    <row r="318" customFormat="false" ht="15" hidden="false" customHeight="false" outlineLevel="0" collapsed="false">
      <c r="A318" s="8" t="n">
        <v>45608</v>
      </c>
      <c r="B318" s="3" t="n">
        <v>40966</v>
      </c>
      <c r="C318" s="3" t="n">
        <v>4182</v>
      </c>
      <c r="D318" s="3" t="n">
        <v>389</v>
      </c>
      <c r="E318" s="3" t="n">
        <v>47</v>
      </c>
      <c r="F318" s="4" t="n">
        <v>107.28</v>
      </c>
      <c r="G318" s="3" t="n">
        <v>1</v>
      </c>
      <c r="H318" s="3" t="n">
        <v>342</v>
      </c>
    </row>
    <row r="319" customFormat="false" ht="15" hidden="false" customHeight="false" outlineLevel="0" collapsed="false">
      <c r="A319" s="8" t="n">
        <v>45609</v>
      </c>
      <c r="B319" s="3" t="n">
        <v>37448</v>
      </c>
      <c r="C319" s="3" t="n">
        <v>3565</v>
      </c>
      <c r="D319" s="3" t="n">
        <v>438</v>
      </c>
      <c r="E319" s="3" t="n">
        <v>24</v>
      </c>
      <c r="F319" s="4" t="n">
        <v>92.67</v>
      </c>
      <c r="G319" s="3" t="n">
        <v>1</v>
      </c>
      <c r="H319" s="3" t="n">
        <v>414</v>
      </c>
    </row>
    <row r="320" customFormat="false" ht="15" hidden="false" customHeight="false" outlineLevel="0" collapsed="false">
      <c r="A320" s="8" t="n">
        <v>45610</v>
      </c>
      <c r="B320" s="3" t="n">
        <v>45936</v>
      </c>
      <c r="C320" s="3" t="n">
        <v>4388</v>
      </c>
      <c r="D320" s="3" t="n">
        <v>418</v>
      </c>
      <c r="E320" s="3" t="n">
        <v>61</v>
      </c>
      <c r="F320" s="4" t="n">
        <v>92.88</v>
      </c>
      <c r="G320" s="3" t="n">
        <v>0</v>
      </c>
      <c r="H320" s="3" t="n">
        <v>357</v>
      </c>
    </row>
    <row r="321" customFormat="false" ht="15" hidden="false" customHeight="false" outlineLevel="0" collapsed="false">
      <c r="A321" s="8" t="n">
        <v>45611</v>
      </c>
      <c r="B321" s="3" t="n">
        <v>35480</v>
      </c>
      <c r="C321" s="3" t="n">
        <v>3383</v>
      </c>
      <c r="D321" s="3" t="n">
        <v>377</v>
      </c>
      <c r="E321" s="3" t="n">
        <v>42</v>
      </c>
      <c r="F321" s="4" t="n">
        <v>80.62</v>
      </c>
      <c r="G321" s="3" t="n">
        <v>1</v>
      </c>
      <c r="H321" s="3" t="n">
        <v>335</v>
      </c>
    </row>
    <row r="322" customFormat="false" ht="15" hidden="false" customHeight="false" outlineLevel="0" collapsed="false">
      <c r="A322" s="8" t="n">
        <v>45612</v>
      </c>
      <c r="B322" s="3" t="n">
        <v>51720</v>
      </c>
      <c r="C322" s="3" t="n">
        <v>5187</v>
      </c>
      <c r="D322" s="3" t="n">
        <v>576</v>
      </c>
      <c r="E322" s="3" t="n">
        <v>42</v>
      </c>
      <c r="F322" s="4" t="n">
        <v>134.4</v>
      </c>
      <c r="G322" s="3" t="n">
        <v>1</v>
      </c>
      <c r="H322" s="3" t="n">
        <v>534</v>
      </c>
    </row>
    <row r="323" customFormat="false" ht="15" hidden="false" customHeight="false" outlineLevel="0" collapsed="false">
      <c r="A323" s="8" t="n">
        <v>45613</v>
      </c>
      <c r="B323" s="3" t="n">
        <v>46106</v>
      </c>
      <c r="C323" s="3" t="n">
        <v>4751</v>
      </c>
      <c r="D323" s="3" t="n">
        <v>729</v>
      </c>
      <c r="E323" s="3" t="n">
        <v>32</v>
      </c>
      <c r="F323" s="4" t="n">
        <v>125.02</v>
      </c>
      <c r="G323" s="3" t="n">
        <v>1</v>
      </c>
      <c r="H323" s="3" t="n">
        <v>697</v>
      </c>
    </row>
    <row r="324" customFormat="false" ht="15" hidden="false" customHeight="false" outlineLevel="0" collapsed="false">
      <c r="A324" s="8" t="n">
        <v>45614</v>
      </c>
      <c r="B324" s="3" t="n">
        <v>47297</v>
      </c>
      <c r="C324" s="3" t="n">
        <v>4514</v>
      </c>
      <c r="D324" s="3" t="n">
        <v>421</v>
      </c>
      <c r="E324" s="3" t="n">
        <v>29</v>
      </c>
      <c r="F324" s="4" t="n">
        <v>127.25</v>
      </c>
      <c r="G324" s="3" t="n">
        <v>0</v>
      </c>
      <c r="H324" s="3" t="n">
        <v>392</v>
      </c>
    </row>
    <row r="325" customFormat="false" ht="15" hidden="false" customHeight="false" outlineLevel="0" collapsed="false">
      <c r="A325" s="8" t="n">
        <v>45615</v>
      </c>
      <c r="B325" s="3" t="n">
        <v>45054</v>
      </c>
      <c r="C325" s="3" t="n">
        <v>4305</v>
      </c>
      <c r="D325" s="3" t="n">
        <v>616</v>
      </c>
      <c r="E325" s="3" t="n">
        <v>29</v>
      </c>
      <c r="F325" s="4" t="n">
        <v>97.71</v>
      </c>
      <c r="G325" s="3" t="n">
        <v>1</v>
      </c>
      <c r="H325" s="3" t="n">
        <v>587</v>
      </c>
    </row>
    <row r="326" customFormat="false" ht="15" hidden="false" customHeight="false" outlineLevel="0" collapsed="false">
      <c r="A326" s="8" t="n">
        <v>45616</v>
      </c>
      <c r="B326" s="3" t="n">
        <v>51320</v>
      </c>
      <c r="C326" s="3" t="n">
        <v>5052</v>
      </c>
      <c r="D326" s="3" t="n">
        <v>575</v>
      </c>
      <c r="E326" s="3" t="n">
        <v>35</v>
      </c>
      <c r="F326" s="4" t="n">
        <v>129.57</v>
      </c>
      <c r="G326" s="3" t="n">
        <v>0</v>
      </c>
      <c r="H326" s="3" t="n">
        <v>540</v>
      </c>
    </row>
    <row r="327" customFormat="false" ht="15" hidden="false" customHeight="false" outlineLevel="0" collapsed="false">
      <c r="A327" s="8" t="n">
        <v>45617</v>
      </c>
      <c r="B327" s="3" t="n">
        <v>45111</v>
      </c>
      <c r="C327" s="3" t="n">
        <v>4342</v>
      </c>
      <c r="D327" s="3" t="n">
        <v>526</v>
      </c>
      <c r="E327" s="3" t="n">
        <v>48</v>
      </c>
      <c r="F327" s="4" t="n">
        <v>120.65</v>
      </c>
      <c r="G327" s="3" t="n">
        <v>0</v>
      </c>
      <c r="H327" s="3" t="n">
        <v>478</v>
      </c>
    </row>
    <row r="328" customFormat="false" ht="15" hidden="false" customHeight="false" outlineLevel="0" collapsed="false">
      <c r="A328" s="8" t="n">
        <v>45618</v>
      </c>
      <c r="B328" s="3" t="n">
        <v>34282</v>
      </c>
      <c r="C328" s="3" t="n">
        <v>3460</v>
      </c>
      <c r="D328" s="3" t="n">
        <v>382</v>
      </c>
      <c r="E328" s="3" t="n">
        <v>33</v>
      </c>
      <c r="F328" s="4" t="n">
        <v>74.07</v>
      </c>
      <c r="G328" s="3" t="n">
        <v>0</v>
      </c>
      <c r="H328" s="3" t="n">
        <v>349</v>
      </c>
    </row>
    <row r="329" customFormat="false" ht="15" hidden="false" customHeight="false" outlineLevel="0" collapsed="false">
      <c r="A329" s="8" t="n">
        <v>45619</v>
      </c>
      <c r="B329" s="3" t="n">
        <v>47315</v>
      </c>
      <c r="C329" s="3" t="n">
        <v>4185</v>
      </c>
      <c r="D329" s="3" t="n">
        <v>554</v>
      </c>
      <c r="E329" s="3" t="n">
        <v>24</v>
      </c>
      <c r="F329" s="4" t="n">
        <v>116.71</v>
      </c>
      <c r="G329" s="3" t="n">
        <v>1</v>
      </c>
      <c r="H329" s="3" t="n">
        <v>530</v>
      </c>
    </row>
    <row r="330" customFormat="false" ht="15" hidden="false" customHeight="false" outlineLevel="0" collapsed="false">
      <c r="A330" s="8" t="n">
        <v>45620</v>
      </c>
      <c r="B330" s="3" t="n">
        <v>41515</v>
      </c>
      <c r="C330" s="3" t="n">
        <v>3902</v>
      </c>
      <c r="D330" s="3" t="n">
        <v>444</v>
      </c>
      <c r="E330" s="3" t="n">
        <v>41</v>
      </c>
      <c r="F330" s="4" t="n">
        <v>104.79</v>
      </c>
      <c r="G330" s="3" t="n">
        <v>0</v>
      </c>
      <c r="H330" s="3" t="n">
        <v>403</v>
      </c>
    </row>
    <row r="331" customFormat="false" ht="15" hidden="false" customHeight="false" outlineLevel="0" collapsed="false">
      <c r="A331" s="8" t="n">
        <v>45621</v>
      </c>
      <c r="B331" s="3" t="n">
        <v>39117</v>
      </c>
      <c r="C331" s="3" t="n">
        <v>3684</v>
      </c>
      <c r="D331" s="3" t="n">
        <v>533</v>
      </c>
      <c r="E331" s="3" t="n">
        <v>42</v>
      </c>
      <c r="F331" s="4" t="n">
        <v>94.35</v>
      </c>
      <c r="G331" s="3" t="n">
        <v>1</v>
      </c>
      <c r="H331" s="3" t="n">
        <v>491</v>
      </c>
    </row>
    <row r="332" customFormat="false" ht="15" hidden="false" customHeight="false" outlineLevel="0" collapsed="false">
      <c r="A332" s="8" t="n">
        <v>45622</v>
      </c>
      <c r="B332" s="3" t="n">
        <v>109989</v>
      </c>
      <c r="C332" s="3" t="n">
        <v>9693</v>
      </c>
      <c r="D332" s="3" t="n">
        <v>1125</v>
      </c>
      <c r="E332" s="3" t="n">
        <v>39</v>
      </c>
      <c r="F332" s="4" t="n">
        <v>234.45</v>
      </c>
      <c r="G332" s="3" t="n">
        <v>1</v>
      </c>
      <c r="H332" s="3" t="n">
        <v>1086</v>
      </c>
    </row>
    <row r="333" customFormat="false" ht="15" hidden="false" customHeight="false" outlineLevel="0" collapsed="false">
      <c r="A333" s="8" t="n">
        <v>45623</v>
      </c>
      <c r="B333" s="3" t="n">
        <v>89299</v>
      </c>
      <c r="C333" s="3" t="n">
        <v>8346</v>
      </c>
      <c r="D333" s="3" t="n">
        <v>1156</v>
      </c>
      <c r="E333" s="3" t="n">
        <v>40</v>
      </c>
      <c r="F333" s="4" t="n">
        <v>215.18</v>
      </c>
      <c r="G333" s="3" t="n">
        <v>0</v>
      </c>
      <c r="H333" s="3" t="n">
        <v>1116</v>
      </c>
    </row>
    <row r="334" customFormat="false" ht="15" hidden="false" customHeight="false" outlineLevel="0" collapsed="false">
      <c r="A334" s="8" t="n">
        <v>45624</v>
      </c>
      <c r="B334" s="3" t="n">
        <v>67738</v>
      </c>
      <c r="C334" s="3" t="n">
        <v>6344</v>
      </c>
      <c r="D334" s="3" t="n">
        <v>674</v>
      </c>
      <c r="E334" s="3" t="n">
        <v>29</v>
      </c>
      <c r="F334" s="4" t="n">
        <v>163.29</v>
      </c>
      <c r="G334" s="3" t="n">
        <v>1</v>
      </c>
      <c r="H334" s="3" t="n">
        <v>645</v>
      </c>
    </row>
    <row r="335" customFormat="false" ht="15" hidden="false" customHeight="false" outlineLevel="0" collapsed="false">
      <c r="A335" s="8" t="n">
        <v>45625</v>
      </c>
      <c r="B335" s="3" t="n">
        <v>57177</v>
      </c>
      <c r="C335" s="3" t="n">
        <v>5514</v>
      </c>
      <c r="D335" s="3" t="n">
        <v>621</v>
      </c>
      <c r="E335" s="3" t="n">
        <v>24</v>
      </c>
      <c r="F335" s="4" t="n">
        <v>139.89</v>
      </c>
      <c r="G335" s="3" t="n">
        <v>0</v>
      </c>
      <c r="H335" s="3" t="n">
        <v>597</v>
      </c>
    </row>
    <row r="336" customFormat="false" ht="15" hidden="false" customHeight="false" outlineLevel="0" collapsed="false">
      <c r="A336" s="8" t="n">
        <v>45626</v>
      </c>
      <c r="B336" s="3" t="n">
        <v>64017</v>
      </c>
      <c r="C336" s="3" t="n">
        <v>6500</v>
      </c>
      <c r="D336" s="3" t="n">
        <v>597</v>
      </c>
      <c r="E336" s="3" t="n">
        <v>25</v>
      </c>
      <c r="F336" s="4" t="n">
        <v>151.58</v>
      </c>
      <c r="G336" s="3" t="n">
        <v>1</v>
      </c>
      <c r="H336" s="3" t="n">
        <v>572</v>
      </c>
    </row>
    <row r="337" customFormat="false" ht="15" hidden="false" customHeight="false" outlineLevel="0" collapsed="false">
      <c r="A337" s="8" t="n">
        <v>45627</v>
      </c>
      <c r="B337" s="3" t="n">
        <v>46003</v>
      </c>
      <c r="C337" s="3" t="n">
        <v>4428</v>
      </c>
      <c r="D337" s="3" t="n">
        <v>540</v>
      </c>
      <c r="E337" s="3" t="n">
        <v>20</v>
      </c>
      <c r="F337" s="4" t="n">
        <v>110.04</v>
      </c>
      <c r="G337" s="3" t="n">
        <v>0</v>
      </c>
      <c r="H337" s="3" t="n">
        <v>520</v>
      </c>
    </row>
    <row r="338" customFormat="false" ht="15" hidden="false" customHeight="false" outlineLevel="0" collapsed="false">
      <c r="A338" s="8" t="n">
        <v>45628</v>
      </c>
      <c r="B338" s="3" t="n">
        <v>38896</v>
      </c>
      <c r="C338" s="3" t="n">
        <v>3625</v>
      </c>
      <c r="D338" s="3" t="n">
        <v>529</v>
      </c>
      <c r="E338" s="3" t="n">
        <v>34</v>
      </c>
      <c r="F338" s="4" t="n">
        <v>96.14</v>
      </c>
      <c r="G338" s="3" t="n">
        <v>0</v>
      </c>
      <c r="H338" s="3" t="n">
        <v>495</v>
      </c>
    </row>
    <row r="339" customFormat="false" ht="15" hidden="false" customHeight="false" outlineLevel="0" collapsed="false">
      <c r="A339" s="8" t="n">
        <v>45629</v>
      </c>
      <c r="B339" s="3" t="n">
        <v>43845</v>
      </c>
      <c r="C339" s="3" t="n">
        <v>4253</v>
      </c>
      <c r="D339" s="3" t="n">
        <v>475</v>
      </c>
      <c r="E339" s="3" t="n">
        <v>31</v>
      </c>
      <c r="F339" s="4" t="n">
        <v>112.69</v>
      </c>
      <c r="G339" s="3" t="n">
        <v>1</v>
      </c>
      <c r="H339" s="3" t="n">
        <v>444</v>
      </c>
    </row>
    <row r="340" customFormat="false" ht="15" hidden="false" customHeight="false" outlineLevel="0" collapsed="false">
      <c r="A340" s="8" t="n">
        <v>45630</v>
      </c>
      <c r="B340" s="3" t="n">
        <v>48602</v>
      </c>
      <c r="C340" s="3" t="n">
        <v>4923</v>
      </c>
      <c r="D340" s="3" t="n">
        <v>517</v>
      </c>
      <c r="E340" s="3" t="n">
        <v>28</v>
      </c>
      <c r="F340" s="4" t="n">
        <v>117.73</v>
      </c>
      <c r="G340" s="3" t="n">
        <v>1</v>
      </c>
      <c r="H340" s="3" t="n">
        <v>489</v>
      </c>
    </row>
    <row r="341" customFormat="false" ht="15" hidden="false" customHeight="false" outlineLevel="0" collapsed="false">
      <c r="A341" s="8" t="n">
        <v>45631</v>
      </c>
      <c r="B341" s="3" t="n">
        <v>45598</v>
      </c>
      <c r="C341" s="3" t="n">
        <v>4260</v>
      </c>
      <c r="D341" s="3" t="n">
        <v>423</v>
      </c>
      <c r="E341" s="3" t="n">
        <v>13</v>
      </c>
      <c r="F341" s="4" t="n">
        <v>109.58</v>
      </c>
      <c r="G341" s="3" t="n">
        <v>0</v>
      </c>
      <c r="H341" s="3" t="n">
        <v>410</v>
      </c>
    </row>
    <row r="342" customFormat="false" ht="15" hidden="false" customHeight="false" outlineLevel="0" collapsed="false">
      <c r="A342" s="8" t="n">
        <v>45632</v>
      </c>
      <c r="B342" s="3" t="n">
        <v>32254</v>
      </c>
      <c r="C342" s="3" t="n">
        <v>3021</v>
      </c>
      <c r="D342" s="3" t="n">
        <v>341</v>
      </c>
      <c r="E342" s="3" t="n">
        <v>22</v>
      </c>
      <c r="F342" s="4" t="n">
        <v>80.73</v>
      </c>
      <c r="G342" s="3" t="n">
        <v>1</v>
      </c>
      <c r="H342" s="3" t="n">
        <v>319</v>
      </c>
    </row>
    <row r="343" customFormat="false" ht="15" hidden="false" customHeight="false" outlineLevel="0" collapsed="false">
      <c r="A343" s="8" t="n">
        <v>45633</v>
      </c>
      <c r="B343" s="3" t="n">
        <v>50738</v>
      </c>
      <c r="C343" s="3" t="n">
        <v>5043</v>
      </c>
      <c r="D343" s="3" t="n">
        <v>438</v>
      </c>
      <c r="E343" s="3" t="n">
        <v>45</v>
      </c>
      <c r="F343" s="4" t="n">
        <v>108.16</v>
      </c>
      <c r="G343" s="3" t="n">
        <v>1</v>
      </c>
      <c r="H343" s="3" t="n">
        <v>393</v>
      </c>
    </row>
    <row r="344" customFormat="false" ht="15" hidden="false" customHeight="false" outlineLevel="0" collapsed="false">
      <c r="A344" s="8" t="n">
        <v>45634</v>
      </c>
      <c r="B344" s="3" t="n">
        <v>49431</v>
      </c>
      <c r="C344" s="3" t="n">
        <v>4763</v>
      </c>
      <c r="D344" s="3" t="n">
        <v>472</v>
      </c>
      <c r="E344" s="3" t="n">
        <v>27</v>
      </c>
      <c r="F344" s="4" t="n">
        <v>127.72</v>
      </c>
      <c r="G344" s="3" t="n">
        <v>0</v>
      </c>
      <c r="H344" s="3" t="n">
        <v>445</v>
      </c>
    </row>
    <row r="345" customFormat="false" ht="15" hidden="false" customHeight="false" outlineLevel="0" collapsed="false">
      <c r="A345" s="8" t="n">
        <v>45635</v>
      </c>
      <c r="B345" s="3" t="n">
        <v>44863</v>
      </c>
      <c r="C345" s="3" t="n">
        <v>4474</v>
      </c>
      <c r="D345" s="3" t="n">
        <v>509</v>
      </c>
      <c r="E345" s="3" t="n">
        <v>36</v>
      </c>
      <c r="F345" s="4" t="n">
        <v>111.63</v>
      </c>
      <c r="G345" s="3" t="n">
        <v>0</v>
      </c>
      <c r="H345" s="3" t="n">
        <v>473</v>
      </c>
    </row>
    <row r="346" customFormat="false" ht="15" hidden="false" customHeight="false" outlineLevel="0" collapsed="false">
      <c r="A346" s="8" t="n">
        <v>45636</v>
      </c>
      <c r="B346" s="3" t="n">
        <v>51918</v>
      </c>
      <c r="C346" s="3" t="n">
        <v>5044</v>
      </c>
      <c r="D346" s="3" t="n">
        <v>693</v>
      </c>
      <c r="E346" s="3" t="n">
        <v>21</v>
      </c>
      <c r="F346" s="4" t="n">
        <v>129.66</v>
      </c>
      <c r="G346" s="3" t="n">
        <v>0</v>
      </c>
      <c r="H346" s="3" t="n">
        <v>672</v>
      </c>
    </row>
    <row r="347" customFormat="false" ht="15" hidden="false" customHeight="false" outlineLevel="0" collapsed="false">
      <c r="A347" s="8" t="n">
        <v>45637</v>
      </c>
      <c r="B347" s="3" t="n">
        <v>33445</v>
      </c>
      <c r="C347" s="3" t="n">
        <v>3343</v>
      </c>
      <c r="D347" s="3" t="n">
        <v>558</v>
      </c>
      <c r="E347" s="3" t="n">
        <v>50</v>
      </c>
      <c r="F347" s="4" t="n">
        <v>89.96</v>
      </c>
      <c r="G347" s="3" t="n">
        <v>1</v>
      </c>
      <c r="H347" s="3" t="n">
        <v>508</v>
      </c>
    </row>
    <row r="348" customFormat="false" ht="15" hidden="false" customHeight="false" outlineLevel="0" collapsed="false">
      <c r="A348" s="8" t="n">
        <v>45638</v>
      </c>
      <c r="B348" s="3" t="n">
        <v>39978</v>
      </c>
      <c r="C348" s="3" t="n">
        <v>3726</v>
      </c>
      <c r="D348" s="3" t="n">
        <v>401</v>
      </c>
      <c r="E348" s="3" t="n">
        <v>31</v>
      </c>
      <c r="F348" s="4" t="n">
        <v>85.22</v>
      </c>
      <c r="G348" s="3" t="n">
        <v>0</v>
      </c>
      <c r="H348" s="3" t="n">
        <v>370</v>
      </c>
    </row>
    <row r="349" customFormat="false" ht="15" hidden="false" customHeight="false" outlineLevel="0" collapsed="false">
      <c r="A349" s="8" t="n">
        <v>45639</v>
      </c>
      <c r="B349" s="3" t="n">
        <v>46152</v>
      </c>
      <c r="C349" s="3" t="n">
        <v>4484</v>
      </c>
      <c r="D349" s="3" t="n">
        <v>627</v>
      </c>
      <c r="E349" s="3" t="n">
        <v>36</v>
      </c>
      <c r="F349" s="4" t="n">
        <v>98.26</v>
      </c>
      <c r="G349" s="3" t="n">
        <v>1</v>
      </c>
      <c r="H349" s="3" t="n">
        <v>591</v>
      </c>
    </row>
    <row r="350" customFormat="false" ht="15" hidden="false" customHeight="false" outlineLevel="0" collapsed="false">
      <c r="A350" s="8" t="n">
        <v>45640</v>
      </c>
      <c r="B350" s="3" t="n">
        <v>40967</v>
      </c>
      <c r="C350" s="3" t="n">
        <v>3949</v>
      </c>
      <c r="D350" s="3" t="n">
        <v>466</v>
      </c>
      <c r="E350" s="3" t="n">
        <v>66</v>
      </c>
      <c r="F350" s="4" t="n">
        <v>104.46</v>
      </c>
      <c r="G350" s="3" t="n">
        <v>0</v>
      </c>
      <c r="H350" s="3" t="n">
        <v>400</v>
      </c>
    </row>
    <row r="351" customFormat="false" ht="15" hidden="false" customHeight="false" outlineLevel="0" collapsed="false">
      <c r="A351" s="8" t="n">
        <v>45641</v>
      </c>
      <c r="B351" s="3" t="n">
        <v>59230</v>
      </c>
      <c r="C351" s="3" t="n">
        <v>5478</v>
      </c>
      <c r="D351" s="3" t="n">
        <v>634</v>
      </c>
      <c r="E351" s="3" t="n">
        <v>52</v>
      </c>
      <c r="F351" s="4" t="n">
        <v>147.74</v>
      </c>
      <c r="G351" s="3" t="n">
        <v>0</v>
      </c>
      <c r="H351" s="3" t="n">
        <v>582</v>
      </c>
    </row>
    <row r="352" customFormat="false" ht="15" hidden="false" customHeight="false" outlineLevel="0" collapsed="false">
      <c r="A352" s="8" t="n">
        <v>45642</v>
      </c>
      <c r="B352" s="3" t="n">
        <v>45174</v>
      </c>
      <c r="C352" s="3" t="n">
        <v>4117</v>
      </c>
      <c r="D352" s="3" t="n">
        <v>528</v>
      </c>
      <c r="E352" s="3" t="n">
        <v>30</v>
      </c>
      <c r="F352" s="4" t="n">
        <v>114.35</v>
      </c>
      <c r="G352" s="3" t="n">
        <v>1</v>
      </c>
      <c r="H352" s="3" t="n">
        <v>498</v>
      </c>
    </row>
    <row r="353" customFormat="false" ht="15" hidden="false" customHeight="false" outlineLevel="0" collapsed="false">
      <c r="A353" s="8" t="n">
        <v>45643</v>
      </c>
      <c r="B353" s="3" t="n">
        <v>47926</v>
      </c>
      <c r="C353" s="3" t="n">
        <v>4787</v>
      </c>
      <c r="D353" s="3" t="n">
        <v>530</v>
      </c>
      <c r="E353" s="3" t="n">
        <v>28</v>
      </c>
      <c r="F353" s="4" t="n">
        <v>115.39</v>
      </c>
      <c r="G353" s="3" t="n">
        <v>1</v>
      </c>
      <c r="H353" s="3" t="n">
        <v>502</v>
      </c>
    </row>
    <row r="354" customFormat="false" ht="15" hidden="false" customHeight="false" outlineLevel="0" collapsed="false">
      <c r="A354" s="8" t="n">
        <v>45644</v>
      </c>
      <c r="B354" s="3" t="n">
        <v>40500</v>
      </c>
      <c r="C354" s="3" t="n">
        <v>3882</v>
      </c>
      <c r="D354" s="3" t="n">
        <v>451</v>
      </c>
      <c r="E354" s="3" t="n">
        <v>30</v>
      </c>
      <c r="F354" s="4" t="n">
        <v>106.76</v>
      </c>
      <c r="G354" s="3" t="n">
        <v>1</v>
      </c>
      <c r="H354" s="3" t="n">
        <v>421</v>
      </c>
    </row>
    <row r="355" customFormat="false" ht="15" hidden="false" customHeight="false" outlineLevel="0" collapsed="false">
      <c r="A355" s="8" t="n">
        <v>45645</v>
      </c>
      <c r="B355" s="3" t="n">
        <v>47905</v>
      </c>
      <c r="C355" s="3" t="n">
        <v>4467</v>
      </c>
      <c r="D355" s="3" t="n">
        <v>494</v>
      </c>
      <c r="E355" s="3" t="n">
        <v>39</v>
      </c>
      <c r="F355" s="4" t="n">
        <v>129.08</v>
      </c>
      <c r="G355" s="3" t="n">
        <v>0</v>
      </c>
      <c r="H355" s="3" t="n">
        <v>455</v>
      </c>
    </row>
    <row r="356" customFormat="false" ht="15" hidden="false" customHeight="false" outlineLevel="0" collapsed="false">
      <c r="A356" s="8" t="n">
        <v>45646</v>
      </c>
      <c r="B356" s="3" t="n">
        <v>49478</v>
      </c>
      <c r="C356" s="3" t="n">
        <v>4791</v>
      </c>
      <c r="D356" s="3" t="n">
        <v>440</v>
      </c>
      <c r="E356" s="3" t="n">
        <v>32</v>
      </c>
      <c r="F356" s="4" t="n">
        <v>128.68</v>
      </c>
      <c r="G356" s="3" t="n">
        <v>0</v>
      </c>
      <c r="H356" s="3" t="n">
        <v>408</v>
      </c>
    </row>
    <row r="357" customFormat="false" ht="15" hidden="false" customHeight="false" outlineLevel="0" collapsed="false">
      <c r="A357" s="8" t="n">
        <v>45647</v>
      </c>
      <c r="B357" s="3" t="n">
        <v>51561</v>
      </c>
      <c r="C357" s="3" t="n">
        <v>5239</v>
      </c>
      <c r="D357" s="3" t="n">
        <v>448</v>
      </c>
      <c r="E357" s="3" t="n">
        <v>30</v>
      </c>
      <c r="F357" s="4" t="n">
        <v>126.41</v>
      </c>
      <c r="G357" s="3" t="n">
        <v>1</v>
      </c>
      <c r="H357" s="3" t="n">
        <v>418</v>
      </c>
    </row>
    <row r="358" customFormat="false" ht="15" hidden="false" customHeight="false" outlineLevel="0" collapsed="false">
      <c r="A358" s="8" t="n">
        <v>45648</v>
      </c>
      <c r="B358" s="3" t="n">
        <v>51660</v>
      </c>
      <c r="C358" s="3" t="n">
        <v>4564</v>
      </c>
      <c r="D358" s="3" t="n">
        <v>624</v>
      </c>
      <c r="E358" s="3" t="n">
        <v>52</v>
      </c>
      <c r="F358" s="4" t="n">
        <v>109.31</v>
      </c>
      <c r="G358" s="3" t="n">
        <v>0</v>
      </c>
      <c r="H358" s="3" t="n">
        <v>572</v>
      </c>
    </row>
    <row r="359" customFormat="false" ht="15" hidden="false" customHeight="false" outlineLevel="0" collapsed="false">
      <c r="A359" s="8" t="n">
        <v>45649</v>
      </c>
      <c r="B359" s="3" t="n">
        <v>45194</v>
      </c>
      <c r="C359" s="3" t="n">
        <v>4130</v>
      </c>
      <c r="D359" s="3" t="n">
        <v>475</v>
      </c>
      <c r="E359" s="3" t="n">
        <v>32</v>
      </c>
      <c r="F359" s="4" t="n">
        <v>120.43</v>
      </c>
      <c r="G359" s="3" t="n">
        <v>1</v>
      </c>
      <c r="H359" s="3" t="n">
        <v>443</v>
      </c>
    </row>
    <row r="360" customFormat="false" ht="15" hidden="false" customHeight="false" outlineLevel="0" collapsed="false">
      <c r="A360" s="8" t="n">
        <v>45650</v>
      </c>
      <c r="B360" s="3" t="n">
        <v>39514</v>
      </c>
      <c r="C360" s="3" t="n">
        <v>3700</v>
      </c>
      <c r="D360" s="3" t="n">
        <v>396</v>
      </c>
      <c r="E360" s="3" t="n">
        <v>70</v>
      </c>
      <c r="F360" s="4" t="n">
        <v>109.23</v>
      </c>
      <c r="G360" s="3" t="n">
        <v>0</v>
      </c>
      <c r="H360" s="3" t="n">
        <v>326</v>
      </c>
    </row>
    <row r="361" customFormat="false" ht="15" hidden="false" customHeight="false" outlineLevel="0" collapsed="false">
      <c r="A361" s="8" t="n">
        <v>45651</v>
      </c>
      <c r="B361" s="3" t="n">
        <v>43133</v>
      </c>
      <c r="C361" s="3" t="n">
        <v>4438</v>
      </c>
      <c r="D361" s="3" t="n">
        <v>473</v>
      </c>
      <c r="E361" s="3" t="n">
        <v>34</v>
      </c>
      <c r="F361" s="4" t="n">
        <v>113.91</v>
      </c>
      <c r="G361" s="3" t="n">
        <v>1</v>
      </c>
      <c r="H361" s="3" t="n">
        <v>439</v>
      </c>
    </row>
    <row r="362" customFormat="false" ht="15" hidden="false" customHeight="false" outlineLevel="0" collapsed="false">
      <c r="A362" s="8" t="n">
        <v>45652</v>
      </c>
      <c r="B362" s="3" t="n">
        <v>43182</v>
      </c>
      <c r="C362" s="3" t="n">
        <v>4245</v>
      </c>
      <c r="D362" s="3" t="n">
        <v>533</v>
      </c>
      <c r="E362" s="3" t="n">
        <v>57</v>
      </c>
      <c r="F362" s="3" t="n">
        <v>101</v>
      </c>
      <c r="G362" s="3" t="n">
        <v>1</v>
      </c>
      <c r="H362" s="3" t="n">
        <v>476</v>
      </c>
    </row>
    <row r="363" customFormat="false" ht="15" hidden="false" customHeight="false" outlineLevel="0" collapsed="false">
      <c r="A363" s="8" t="n">
        <v>45653</v>
      </c>
      <c r="B363" s="3" t="n">
        <v>46129</v>
      </c>
      <c r="C363" s="3" t="n">
        <v>4622</v>
      </c>
      <c r="D363" s="3" t="n">
        <v>519</v>
      </c>
      <c r="E363" s="3" t="n">
        <v>37</v>
      </c>
      <c r="F363" s="4" t="n">
        <v>122.23</v>
      </c>
      <c r="G363" s="3" t="n">
        <v>1</v>
      </c>
      <c r="H363" s="3" t="n">
        <v>482</v>
      </c>
    </row>
    <row r="364" customFormat="false" ht="15" hidden="false" customHeight="false" outlineLevel="0" collapsed="false">
      <c r="A364" s="8" t="n">
        <v>45654</v>
      </c>
      <c r="B364" s="3" t="n">
        <v>57220</v>
      </c>
      <c r="C364" s="3" t="n">
        <v>5309</v>
      </c>
      <c r="D364" s="3" t="n">
        <v>568</v>
      </c>
      <c r="E364" s="3" t="n">
        <v>45</v>
      </c>
      <c r="F364" s="4" t="n">
        <v>153.98</v>
      </c>
      <c r="G364" s="3" t="n">
        <v>0</v>
      </c>
      <c r="H364" s="3" t="n">
        <v>523</v>
      </c>
    </row>
    <row r="365" customFormat="false" ht="15" hidden="false" customHeight="false" outlineLevel="0" collapsed="false">
      <c r="A365" s="8" t="n">
        <v>45655</v>
      </c>
      <c r="B365" s="3" t="n">
        <v>44774</v>
      </c>
      <c r="C365" s="3" t="n">
        <v>4158</v>
      </c>
      <c r="D365" s="3" t="n">
        <v>590</v>
      </c>
      <c r="E365" s="3" t="n">
        <v>27</v>
      </c>
      <c r="F365" s="4" t="n">
        <v>127.47</v>
      </c>
      <c r="G365" s="3" t="n">
        <v>0</v>
      </c>
      <c r="H365" s="3" t="n">
        <v>563</v>
      </c>
    </row>
    <row r="366" customFormat="false" ht="15" hidden="false" customHeight="false" outlineLevel="0" collapsed="false">
      <c r="A366" s="8" t="n">
        <v>45656</v>
      </c>
      <c r="B366" s="3" t="n">
        <v>43623</v>
      </c>
      <c r="C366" s="3" t="n">
        <v>4317</v>
      </c>
      <c r="D366" s="3" t="n">
        <v>606</v>
      </c>
      <c r="E366" s="3" t="n">
        <v>26</v>
      </c>
      <c r="F366" s="4" t="n">
        <v>102.27</v>
      </c>
      <c r="G366" s="3" t="n">
        <v>0</v>
      </c>
      <c r="H366" s="3" t="n">
        <v>580</v>
      </c>
    </row>
    <row r="367" customFormat="false" ht="15" hidden="false" customHeight="false" outlineLevel="0" collapsed="false">
      <c r="A367" s="8" t="n">
        <v>45657</v>
      </c>
      <c r="B367" s="3" t="n">
        <v>52989</v>
      </c>
      <c r="C367" s="3" t="n">
        <v>5163</v>
      </c>
      <c r="D367" s="3" t="n">
        <v>625</v>
      </c>
      <c r="E367" s="3" t="n">
        <v>39</v>
      </c>
      <c r="F367" s="4" t="n">
        <v>130.91</v>
      </c>
      <c r="G367" s="3" t="n">
        <v>0</v>
      </c>
      <c r="H367" s="3" t="n">
        <v>586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21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8" min="7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7" t="s">
        <v>22</v>
      </c>
      <c r="B1" s="7" t="s">
        <v>23</v>
      </c>
      <c r="C1" s="7" t="s">
        <v>24</v>
      </c>
      <c r="D1" s="7" t="s">
        <v>13</v>
      </c>
      <c r="E1" s="7" t="s">
        <v>14</v>
      </c>
      <c r="F1" s="7" t="s">
        <v>25</v>
      </c>
      <c r="G1" s="7" t="s">
        <v>26</v>
      </c>
      <c r="H1" s="7" t="s">
        <v>27</v>
      </c>
      <c r="I1" s="7" t="s">
        <v>28</v>
      </c>
    </row>
    <row r="2" customFormat="false" ht="15" hidden="false" customHeight="false" outlineLevel="0" collapsed="false">
      <c r="A2" s="2" t="s">
        <v>29</v>
      </c>
      <c r="B2" s="2" t="s">
        <v>30</v>
      </c>
      <c r="C2" s="8" t="n">
        <v>45332</v>
      </c>
      <c r="D2" s="3" t="n">
        <v>1800000</v>
      </c>
      <c r="E2" s="3" t="n">
        <v>180000</v>
      </c>
      <c r="F2" s="2" t="s">
        <v>31</v>
      </c>
      <c r="G2" s="3" t="n">
        <v>66014</v>
      </c>
      <c r="H2" s="3" t="n">
        <v>4527</v>
      </c>
      <c r="I2" s="4" t="n">
        <v>4689.48</v>
      </c>
    </row>
    <row r="3" customFormat="false" ht="15" hidden="false" customHeight="false" outlineLevel="0" collapsed="false">
      <c r="A3" s="2" t="s">
        <v>32</v>
      </c>
      <c r="B3" s="2" t="s">
        <v>33</v>
      </c>
      <c r="C3" s="8" t="n">
        <v>45400</v>
      </c>
      <c r="D3" s="3" t="n">
        <v>1200000</v>
      </c>
      <c r="E3" s="3" t="n">
        <v>142000</v>
      </c>
      <c r="F3" s="2" t="s">
        <v>34</v>
      </c>
      <c r="G3" s="3" t="n">
        <v>65335</v>
      </c>
      <c r="H3" s="3" t="n">
        <v>5706</v>
      </c>
      <c r="I3" s="4" t="n">
        <v>2963.74</v>
      </c>
    </row>
    <row r="4" customFormat="false" ht="15" hidden="false" customHeight="false" outlineLevel="0" collapsed="false">
      <c r="A4" s="2" t="s">
        <v>35</v>
      </c>
      <c r="B4" s="2" t="s">
        <v>36</v>
      </c>
      <c r="C4" s="8" t="n">
        <v>45478</v>
      </c>
      <c r="D4" s="3" t="n">
        <v>980000</v>
      </c>
      <c r="E4" s="3" t="n">
        <v>113000</v>
      </c>
      <c r="F4" s="2" t="s">
        <v>37</v>
      </c>
      <c r="G4" s="3" t="n">
        <v>34358</v>
      </c>
      <c r="H4" s="3" t="n">
        <v>5660</v>
      </c>
      <c r="I4" s="4" t="n">
        <v>2482.11</v>
      </c>
    </row>
    <row r="5" customFormat="false" ht="15" hidden="false" customHeight="false" outlineLevel="0" collapsed="false">
      <c r="A5" s="2" t="s">
        <v>38</v>
      </c>
      <c r="B5" s="2" t="s">
        <v>39</v>
      </c>
      <c r="C5" s="8" t="n">
        <v>45547</v>
      </c>
      <c r="D5" s="3" t="n">
        <v>720000</v>
      </c>
      <c r="E5" s="3" t="n">
        <v>84000</v>
      </c>
      <c r="F5" s="2" t="s">
        <v>40</v>
      </c>
      <c r="G5" s="3" t="n">
        <v>27725</v>
      </c>
      <c r="H5" s="3" t="n">
        <v>2669</v>
      </c>
      <c r="I5" s="4" t="n">
        <v>1338.69</v>
      </c>
    </row>
    <row r="6" customFormat="false" ht="15" hidden="false" customHeight="false" outlineLevel="0" collapsed="false">
      <c r="A6" s="2" t="s">
        <v>41</v>
      </c>
      <c r="B6" s="2" t="s">
        <v>42</v>
      </c>
      <c r="C6" s="8" t="n">
        <v>45598</v>
      </c>
      <c r="D6" s="3" t="n">
        <v>650000</v>
      </c>
      <c r="E6" s="3" t="n">
        <v>70000</v>
      </c>
      <c r="F6" s="2" t="s">
        <v>43</v>
      </c>
      <c r="G6" s="3" t="n">
        <v>27656</v>
      </c>
      <c r="H6" s="3" t="n">
        <v>3642</v>
      </c>
      <c r="I6" s="4" t="n">
        <v>1697.58</v>
      </c>
    </row>
    <row r="7" customFormat="false" ht="15" hidden="false" customHeight="false" outlineLevel="0" collapsed="false">
      <c r="A7" s="2" t="s">
        <v>44</v>
      </c>
      <c r="B7" s="2" t="s">
        <v>45</v>
      </c>
      <c r="C7" s="8" t="n">
        <v>45355</v>
      </c>
      <c r="D7" s="3" t="n">
        <v>640000</v>
      </c>
      <c r="E7" s="3" t="n">
        <v>50318</v>
      </c>
      <c r="F7" s="2" t="s">
        <v>46</v>
      </c>
      <c r="G7" s="3" t="n">
        <v>25428</v>
      </c>
      <c r="H7" s="3" t="n">
        <v>1531</v>
      </c>
      <c r="I7" s="4" t="n">
        <v>1244.52</v>
      </c>
    </row>
    <row r="8" customFormat="false" ht="15" hidden="false" customHeight="false" outlineLevel="0" collapsed="false">
      <c r="A8" s="2" t="s">
        <v>47</v>
      </c>
      <c r="B8" s="2" t="s">
        <v>48</v>
      </c>
      <c r="C8" s="8" t="n">
        <v>45622</v>
      </c>
      <c r="D8" s="3" t="n">
        <v>408574</v>
      </c>
      <c r="E8" s="3" t="n">
        <v>37210</v>
      </c>
      <c r="F8" s="2" t="s">
        <v>49</v>
      </c>
      <c r="G8" s="3" t="n">
        <v>22042</v>
      </c>
      <c r="H8" s="3" t="n">
        <v>887</v>
      </c>
      <c r="I8" s="4" t="n">
        <v>938.74</v>
      </c>
    </row>
    <row r="9" customFormat="false" ht="15" hidden="false" customHeight="false" outlineLevel="0" collapsed="false">
      <c r="A9" s="2" t="s">
        <v>50</v>
      </c>
      <c r="B9" s="2" t="s">
        <v>51</v>
      </c>
      <c r="C9" s="8" t="n">
        <v>45452</v>
      </c>
      <c r="D9" s="3" t="n">
        <v>219846</v>
      </c>
      <c r="E9" s="3" t="n">
        <v>24994</v>
      </c>
      <c r="F9" s="2" t="s">
        <v>40</v>
      </c>
      <c r="G9" s="3" t="n">
        <v>12911</v>
      </c>
      <c r="H9" s="3" t="n">
        <v>1074</v>
      </c>
      <c r="I9" s="4" t="n">
        <v>505.02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8" t="n">
        <v>45459</v>
      </c>
      <c r="D10" s="3" t="n">
        <v>146783</v>
      </c>
      <c r="E10" s="3" t="n">
        <v>12794</v>
      </c>
      <c r="F10" s="2" t="s">
        <v>54</v>
      </c>
      <c r="G10" s="3" t="n">
        <v>8257</v>
      </c>
      <c r="H10" s="3" t="n">
        <v>740</v>
      </c>
      <c r="I10" s="4" t="n">
        <v>348.86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8" t="n">
        <v>45619</v>
      </c>
      <c r="D11" s="3" t="n">
        <v>146752</v>
      </c>
      <c r="E11" s="3" t="n">
        <v>16190</v>
      </c>
      <c r="F11" s="2" t="s">
        <v>57</v>
      </c>
      <c r="G11" s="3" t="n">
        <v>5078</v>
      </c>
      <c r="H11" s="3" t="n">
        <v>788</v>
      </c>
      <c r="I11" s="4" t="n">
        <v>341.12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8" t="n">
        <v>45649</v>
      </c>
      <c r="D12" s="3" t="n">
        <v>131638</v>
      </c>
      <c r="E12" s="3" t="n">
        <v>13609</v>
      </c>
      <c r="F12" s="2" t="s">
        <v>60</v>
      </c>
      <c r="G12" s="3" t="n">
        <v>7016</v>
      </c>
      <c r="H12" s="3" t="n">
        <v>293</v>
      </c>
      <c r="I12" s="4" t="n">
        <v>256.32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8" t="n">
        <v>45515</v>
      </c>
      <c r="D13" s="3" t="n">
        <v>106714</v>
      </c>
      <c r="E13" s="3" t="n">
        <v>6349</v>
      </c>
      <c r="F13" s="2" t="s">
        <v>63</v>
      </c>
      <c r="G13" s="3" t="n">
        <v>3675</v>
      </c>
      <c r="H13" s="3" t="n">
        <v>545</v>
      </c>
      <c r="I13" s="4" t="n">
        <v>192.6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8" t="n">
        <v>45502</v>
      </c>
      <c r="D14" s="3" t="n">
        <v>95294</v>
      </c>
      <c r="E14" s="3" t="n">
        <v>7777</v>
      </c>
      <c r="F14" s="2" t="s">
        <v>66</v>
      </c>
      <c r="G14" s="3" t="n">
        <v>5470</v>
      </c>
      <c r="H14" s="3" t="n">
        <v>334</v>
      </c>
      <c r="I14" s="4" t="n">
        <v>240.03</v>
      </c>
    </row>
    <row r="15" customFormat="false" ht="15" hidden="false" customHeight="false" outlineLevel="0" collapsed="false">
      <c r="A15" s="2" t="s">
        <v>67</v>
      </c>
      <c r="B15" s="2" t="s">
        <v>68</v>
      </c>
      <c r="C15" s="8" t="n">
        <v>45548</v>
      </c>
      <c r="D15" s="3" t="n">
        <v>93170</v>
      </c>
      <c r="E15" s="3" t="n">
        <v>9102</v>
      </c>
      <c r="F15" s="2" t="s">
        <v>69</v>
      </c>
      <c r="G15" s="3" t="n">
        <v>4242</v>
      </c>
      <c r="H15" s="3" t="n">
        <v>299</v>
      </c>
      <c r="I15" s="4" t="n">
        <v>211.71</v>
      </c>
    </row>
    <row r="16" customFormat="false" ht="15" hidden="false" customHeight="false" outlineLevel="0" collapsed="false">
      <c r="A16" s="2" t="s">
        <v>70</v>
      </c>
      <c r="B16" s="2" t="s">
        <v>71</v>
      </c>
      <c r="C16" s="8" t="n">
        <v>45433</v>
      </c>
      <c r="D16" s="3" t="n">
        <v>92815</v>
      </c>
      <c r="E16" s="3" t="n">
        <v>10666</v>
      </c>
      <c r="F16" s="2" t="s">
        <v>72</v>
      </c>
      <c r="G16" s="3" t="n">
        <v>3721</v>
      </c>
      <c r="H16" s="3" t="n">
        <v>249</v>
      </c>
      <c r="I16" s="4" t="n">
        <v>243.7</v>
      </c>
    </row>
    <row r="17" customFormat="false" ht="15" hidden="false" customHeight="false" outlineLevel="0" collapsed="false">
      <c r="A17" s="2" t="s">
        <v>73</v>
      </c>
      <c r="B17" s="2" t="s">
        <v>74</v>
      </c>
      <c r="C17" s="8" t="n">
        <v>45632</v>
      </c>
      <c r="D17" s="3" t="n">
        <v>88066</v>
      </c>
      <c r="E17" s="3" t="n">
        <v>7341</v>
      </c>
      <c r="F17" s="2" t="s">
        <v>75</v>
      </c>
      <c r="G17" s="3" t="n">
        <v>3056</v>
      </c>
      <c r="H17" s="3" t="n">
        <v>526</v>
      </c>
      <c r="I17" s="4" t="n">
        <v>193.31</v>
      </c>
    </row>
    <row r="18" customFormat="false" ht="15" hidden="false" customHeight="false" outlineLevel="0" collapsed="false">
      <c r="A18" s="2" t="s">
        <v>76</v>
      </c>
      <c r="B18" s="2" t="s">
        <v>77</v>
      </c>
      <c r="C18" s="8" t="n">
        <v>45325</v>
      </c>
      <c r="D18" s="3" t="n">
        <v>87659</v>
      </c>
      <c r="E18" s="3" t="n">
        <v>5394</v>
      </c>
      <c r="F18" s="2" t="s">
        <v>78</v>
      </c>
      <c r="G18" s="3" t="n">
        <v>2660</v>
      </c>
      <c r="H18" s="3" t="n">
        <v>197</v>
      </c>
      <c r="I18" s="4" t="n">
        <v>156.9</v>
      </c>
    </row>
    <row r="19" customFormat="false" ht="15" hidden="false" customHeight="false" outlineLevel="0" collapsed="false">
      <c r="A19" s="2" t="s">
        <v>79</v>
      </c>
      <c r="B19" s="2" t="s">
        <v>80</v>
      </c>
      <c r="C19" s="8" t="n">
        <v>45471</v>
      </c>
      <c r="D19" s="3" t="n">
        <v>76975</v>
      </c>
      <c r="E19" s="3" t="n">
        <v>6893</v>
      </c>
      <c r="F19" s="2" t="s">
        <v>81</v>
      </c>
      <c r="G19" s="3" t="n">
        <v>2881</v>
      </c>
      <c r="H19" s="3" t="n">
        <v>408</v>
      </c>
      <c r="I19" s="4" t="n">
        <v>196.63</v>
      </c>
    </row>
    <row r="20" customFormat="false" ht="15" hidden="false" customHeight="false" outlineLevel="0" collapsed="false">
      <c r="A20" s="2" t="s">
        <v>82</v>
      </c>
      <c r="B20" s="2" t="s">
        <v>83</v>
      </c>
      <c r="C20" s="8" t="n">
        <v>45440</v>
      </c>
      <c r="D20" s="3" t="n">
        <v>73699</v>
      </c>
      <c r="E20" s="3" t="n">
        <v>4683</v>
      </c>
      <c r="F20" s="2" t="s">
        <v>84</v>
      </c>
      <c r="G20" s="3" t="n">
        <v>4231</v>
      </c>
      <c r="H20" s="3" t="n">
        <v>335</v>
      </c>
      <c r="I20" s="4" t="n">
        <v>154.06</v>
      </c>
    </row>
    <row r="21" customFormat="false" ht="15" hidden="false" customHeight="false" outlineLevel="0" collapsed="false">
      <c r="A21" s="2" t="s">
        <v>85</v>
      </c>
      <c r="B21" s="2" t="s">
        <v>86</v>
      </c>
      <c r="C21" s="8" t="n">
        <v>45416</v>
      </c>
      <c r="D21" s="3" t="n">
        <v>71961</v>
      </c>
      <c r="E21" s="3" t="n">
        <v>7259</v>
      </c>
      <c r="F21" s="2" t="s">
        <v>87</v>
      </c>
      <c r="G21" s="3" t="n">
        <v>3879</v>
      </c>
      <c r="H21" s="3" t="n">
        <v>355</v>
      </c>
      <c r="I21" s="4" t="n">
        <v>167.4</v>
      </c>
    </row>
    <row r="22" customFormat="false" ht="15" hidden="false" customHeight="false" outlineLevel="0" collapsed="false">
      <c r="A22" s="2" t="s">
        <v>88</v>
      </c>
      <c r="B22" s="2" t="s">
        <v>89</v>
      </c>
      <c r="C22" s="8" t="n">
        <v>45349</v>
      </c>
      <c r="D22" s="3" t="n">
        <v>69054</v>
      </c>
      <c r="E22" s="3" t="n">
        <v>5960</v>
      </c>
      <c r="F22" s="2" t="s">
        <v>90</v>
      </c>
      <c r="G22" s="3" t="n">
        <v>4080</v>
      </c>
      <c r="H22" s="3" t="n">
        <v>334</v>
      </c>
      <c r="I22" s="4" t="n">
        <v>138.48</v>
      </c>
    </row>
    <row r="23" customFormat="false" ht="15" hidden="false" customHeight="false" outlineLevel="0" collapsed="false">
      <c r="A23" s="2" t="s">
        <v>91</v>
      </c>
      <c r="B23" s="2" t="s">
        <v>92</v>
      </c>
      <c r="C23" s="8" t="n">
        <v>45522</v>
      </c>
      <c r="D23" s="3" t="n">
        <v>68973</v>
      </c>
      <c r="E23" s="3" t="n">
        <v>6841</v>
      </c>
      <c r="F23" s="2" t="s">
        <v>93</v>
      </c>
      <c r="G23" s="3" t="n">
        <v>2277</v>
      </c>
      <c r="H23" s="3" t="n">
        <v>374</v>
      </c>
      <c r="I23" s="4" t="n">
        <v>195.06</v>
      </c>
    </row>
    <row r="24" customFormat="false" ht="15" hidden="false" customHeight="false" outlineLevel="0" collapsed="false">
      <c r="A24" s="2" t="s">
        <v>94</v>
      </c>
      <c r="B24" s="2" t="s">
        <v>95</v>
      </c>
      <c r="C24" s="8" t="n">
        <v>45536</v>
      </c>
      <c r="D24" s="3" t="n">
        <v>65876</v>
      </c>
      <c r="E24" s="3" t="n">
        <v>7108</v>
      </c>
      <c r="F24" s="2" t="s">
        <v>96</v>
      </c>
      <c r="G24" s="3" t="n">
        <v>3146</v>
      </c>
      <c r="H24" s="3" t="n">
        <v>180</v>
      </c>
      <c r="I24" s="4" t="n">
        <v>127.64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8" t="n">
        <v>45580</v>
      </c>
      <c r="D25" s="3" t="n">
        <v>62842</v>
      </c>
      <c r="E25" s="3" t="n">
        <v>5879</v>
      </c>
      <c r="F25" s="2" t="s">
        <v>99</v>
      </c>
      <c r="G25" s="3" t="n">
        <v>2370</v>
      </c>
      <c r="H25" s="3" t="n">
        <v>125</v>
      </c>
      <c r="I25" s="4" t="n">
        <v>132.02</v>
      </c>
    </row>
    <row r="26" customFormat="false" ht="15" hidden="false" customHeight="false" outlineLevel="0" collapsed="false">
      <c r="A26" s="2" t="s">
        <v>100</v>
      </c>
      <c r="B26" s="2" t="s">
        <v>101</v>
      </c>
      <c r="C26" s="8" t="n">
        <v>45501</v>
      </c>
      <c r="D26" s="3" t="n">
        <v>59916</v>
      </c>
      <c r="E26" s="3" t="n">
        <v>5546</v>
      </c>
      <c r="F26" s="2" t="s">
        <v>102</v>
      </c>
      <c r="G26" s="3" t="n">
        <v>2773</v>
      </c>
      <c r="H26" s="3" t="n">
        <v>263</v>
      </c>
      <c r="I26" s="4" t="n">
        <v>134.56</v>
      </c>
    </row>
    <row r="27" customFormat="false" ht="15" hidden="false" customHeight="false" outlineLevel="0" collapsed="false">
      <c r="A27" s="2" t="s">
        <v>103</v>
      </c>
      <c r="B27" s="2" t="s">
        <v>104</v>
      </c>
      <c r="C27" s="8" t="n">
        <v>45321</v>
      </c>
      <c r="D27" s="3" t="n">
        <v>57810</v>
      </c>
      <c r="E27" s="3" t="n">
        <v>5842</v>
      </c>
      <c r="F27" s="2" t="s">
        <v>105</v>
      </c>
      <c r="G27" s="3" t="n">
        <v>2290</v>
      </c>
      <c r="H27" s="3" t="n">
        <v>197</v>
      </c>
      <c r="I27" s="4" t="n">
        <v>108.45</v>
      </c>
    </row>
    <row r="28" customFormat="false" ht="15" hidden="false" customHeight="false" outlineLevel="0" collapsed="false">
      <c r="A28" s="2" t="s">
        <v>106</v>
      </c>
      <c r="B28" s="2" t="s">
        <v>107</v>
      </c>
      <c r="C28" s="8" t="n">
        <v>45297</v>
      </c>
      <c r="D28" s="3" t="n">
        <v>55291</v>
      </c>
      <c r="E28" s="3" t="n">
        <v>5877</v>
      </c>
      <c r="F28" s="2" t="s">
        <v>108</v>
      </c>
      <c r="G28" s="3" t="n">
        <v>2128</v>
      </c>
      <c r="H28" s="3" t="n">
        <v>137</v>
      </c>
      <c r="I28" s="4" t="n">
        <v>128.4</v>
      </c>
    </row>
    <row r="29" customFormat="false" ht="15" hidden="false" customHeight="false" outlineLevel="0" collapsed="false">
      <c r="A29" s="2" t="s">
        <v>109</v>
      </c>
      <c r="B29" s="2" t="s">
        <v>110</v>
      </c>
      <c r="C29" s="8" t="n">
        <v>45633</v>
      </c>
      <c r="D29" s="3" t="n">
        <v>54210</v>
      </c>
      <c r="E29" s="3" t="n">
        <v>5849</v>
      </c>
      <c r="F29" s="2" t="s">
        <v>96</v>
      </c>
      <c r="G29" s="3" t="n">
        <v>2559</v>
      </c>
      <c r="H29" s="3" t="n">
        <v>148</v>
      </c>
      <c r="I29" s="4" t="n">
        <v>152.56</v>
      </c>
    </row>
    <row r="30" customFormat="false" ht="15" hidden="false" customHeight="false" outlineLevel="0" collapsed="false">
      <c r="A30" s="2" t="s">
        <v>111</v>
      </c>
      <c r="B30" s="2" t="s">
        <v>112</v>
      </c>
      <c r="C30" s="8" t="n">
        <v>45461</v>
      </c>
      <c r="D30" s="3" t="n">
        <v>54174</v>
      </c>
      <c r="E30" s="3" t="n">
        <v>3151</v>
      </c>
      <c r="F30" s="2" t="s">
        <v>113</v>
      </c>
      <c r="G30" s="3" t="n">
        <v>1923</v>
      </c>
      <c r="H30" s="3" t="n">
        <v>180</v>
      </c>
      <c r="I30" s="4" t="n">
        <v>111.23</v>
      </c>
    </row>
    <row r="31" customFormat="false" ht="15" hidden="false" customHeight="false" outlineLevel="0" collapsed="false">
      <c r="A31" s="2" t="s">
        <v>114</v>
      </c>
      <c r="B31" s="2" t="s">
        <v>115</v>
      </c>
      <c r="C31" s="8" t="n">
        <v>45378</v>
      </c>
      <c r="D31" s="3" t="n">
        <v>53632</v>
      </c>
      <c r="E31" s="3" t="n">
        <v>4784</v>
      </c>
      <c r="F31" s="2" t="s">
        <v>116</v>
      </c>
      <c r="G31" s="3" t="n">
        <v>2363</v>
      </c>
      <c r="H31" s="3" t="n">
        <v>122</v>
      </c>
      <c r="I31" s="4" t="n">
        <v>125.76</v>
      </c>
    </row>
    <row r="32" customFormat="false" ht="15" hidden="false" customHeight="false" outlineLevel="0" collapsed="false">
      <c r="A32" s="2" t="s">
        <v>117</v>
      </c>
      <c r="B32" s="2" t="s">
        <v>118</v>
      </c>
      <c r="C32" s="8" t="n">
        <v>45434</v>
      </c>
      <c r="D32" s="3" t="n">
        <v>52311</v>
      </c>
      <c r="E32" s="3" t="n">
        <v>3604</v>
      </c>
      <c r="F32" s="2" t="s">
        <v>119</v>
      </c>
      <c r="G32" s="3" t="n">
        <v>2590</v>
      </c>
      <c r="H32" s="3" t="n">
        <v>116</v>
      </c>
      <c r="I32" s="4" t="n">
        <v>76.53</v>
      </c>
    </row>
    <row r="33" customFormat="false" ht="15" hidden="false" customHeight="false" outlineLevel="0" collapsed="false">
      <c r="A33" s="2" t="s">
        <v>120</v>
      </c>
      <c r="B33" s="2" t="s">
        <v>121</v>
      </c>
      <c r="C33" s="8" t="n">
        <v>45543</v>
      </c>
      <c r="D33" s="3" t="n">
        <v>51799</v>
      </c>
      <c r="E33" s="3" t="n">
        <v>5562</v>
      </c>
      <c r="F33" s="2" t="s">
        <v>122</v>
      </c>
      <c r="G33" s="3" t="n">
        <v>1753</v>
      </c>
      <c r="H33" s="3" t="n">
        <v>293</v>
      </c>
      <c r="I33" s="4" t="n">
        <v>113.8</v>
      </c>
    </row>
    <row r="34" customFormat="false" ht="15" hidden="false" customHeight="false" outlineLevel="0" collapsed="false">
      <c r="A34" s="2" t="s">
        <v>123</v>
      </c>
      <c r="B34" s="2" t="s">
        <v>124</v>
      </c>
      <c r="C34" s="8" t="n">
        <v>45551</v>
      </c>
      <c r="D34" s="3" t="n">
        <v>49041</v>
      </c>
      <c r="E34" s="3" t="n">
        <v>4645</v>
      </c>
      <c r="F34" s="2" t="s">
        <v>125</v>
      </c>
      <c r="G34" s="3" t="n">
        <v>2840</v>
      </c>
      <c r="H34" s="3" t="n">
        <v>159</v>
      </c>
      <c r="I34" s="4" t="n">
        <v>103.4</v>
      </c>
    </row>
    <row r="35" customFormat="false" ht="15" hidden="false" customHeight="false" outlineLevel="0" collapsed="false">
      <c r="A35" s="2" t="s">
        <v>126</v>
      </c>
      <c r="B35" s="2" t="s">
        <v>127</v>
      </c>
      <c r="C35" s="8" t="n">
        <v>45509</v>
      </c>
      <c r="D35" s="3" t="n">
        <v>47533</v>
      </c>
      <c r="E35" s="3" t="n">
        <v>3854</v>
      </c>
      <c r="F35" s="2" t="s">
        <v>128</v>
      </c>
      <c r="G35" s="3" t="n">
        <v>2147</v>
      </c>
      <c r="H35" s="3" t="n">
        <v>281</v>
      </c>
      <c r="I35" s="4" t="n">
        <v>92.91</v>
      </c>
    </row>
    <row r="36" customFormat="false" ht="15" hidden="false" customHeight="false" outlineLevel="0" collapsed="false">
      <c r="A36" s="2" t="s">
        <v>129</v>
      </c>
      <c r="B36" s="2" t="s">
        <v>130</v>
      </c>
      <c r="C36" s="8" t="n">
        <v>45372</v>
      </c>
      <c r="D36" s="3" t="n">
        <v>46058</v>
      </c>
      <c r="E36" s="3" t="n">
        <v>3096</v>
      </c>
      <c r="F36" s="2" t="s">
        <v>131</v>
      </c>
      <c r="G36" s="3" t="n">
        <v>2514</v>
      </c>
      <c r="H36" s="3" t="n">
        <v>269</v>
      </c>
      <c r="I36" s="4" t="n">
        <v>119.71</v>
      </c>
    </row>
    <row r="37" customFormat="false" ht="15" hidden="false" customHeight="false" outlineLevel="0" collapsed="false">
      <c r="A37" s="2" t="s">
        <v>132</v>
      </c>
      <c r="B37" s="2" t="s">
        <v>133</v>
      </c>
      <c r="C37" s="8" t="n">
        <v>45490</v>
      </c>
      <c r="D37" s="3" t="n">
        <v>45971</v>
      </c>
      <c r="E37" s="3" t="n">
        <v>3505</v>
      </c>
      <c r="F37" s="2" t="s">
        <v>134</v>
      </c>
      <c r="G37" s="3" t="n">
        <v>2280</v>
      </c>
      <c r="H37" s="3" t="n">
        <v>118</v>
      </c>
      <c r="I37" s="4" t="n">
        <v>96.74</v>
      </c>
    </row>
    <row r="38" customFormat="false" ht="15" hidden="false" customHeight="false" outlineLevel="0" collapsed="false">
      <c r="A38" s="2" t="s">
        <v>135</v>
      </c>
      <c r="B38" s="2" t="s">
        <v>136</v>
      </c>
      <c r="C38" s="8" t="n">
        <v>45403</v>
      </c>
      <c r="D38" s="3" t="n">
        <v>45809</v>
      </c>
      <c r="E38" s="3" t="n">
        <v>4490</v>
      </c>
      <c r="F38" s="2" t="s">
        <v>137</v>
      </c>
      <c r="G38" s="3" t="n">
        <v>2350</v>
      </c>
      <c r="H38" s="3" t="n">
        <v>222</v>
      </c>
      <c r="I38" s="4" t="n">
        <v>98.57</v>
      </c>
    </row>
    <row r="39" customFormat="false" ht="15" hidden="false" customHeight="false" outlineLevel="0" collapsed="false">
      <c r="A39" s="2" t="s">
        <v>138</v>
      </c>
      <c r="B39" s="2" t="s">
        <v>139</v>
      </c>
      <c r="C39" s="8" t="n">
        <v>45496</v>
      </c>
      <c r="D39" s="3" t="n">
        <v>44549</v>
      </c>
      <c r="E39" s="3" t="n">
        <v>3038</v>
      </c>
      <c r="F39" s="2" t="s">
        <v>140</v>
      </c>
      <c r="G39" s="3" t="n">
        <v>2293</v>
      </c>
      <c r="H39" s="3" t="n">
        <v>196</v>
      </c>
      <c r="I39" s="4" t="n">
        <v>93.03</v>
      </c>
    </row>
    <row r="40" customFormat="false" ht="15" hidden="false" customHeight="false" outlineLevel="0" collapsed="false">
      <c r="A40" s="2" t="s">
        <v>141</v>
      </c>
      <c r="B40" s="2" t="s">
        <v>142</v>
      </c>
      <c r="C40" s="8" t="n">
        <v>45330</v>
      </c>
      <c r="D40" s="3" t="n">
        <v>44391</v>
      </c>
      <c r="E40" s="3" t="n">
        <v>2733</v>
      </c>
      <c r="F40" s="2" t="s">
        <v>78</v>
      </c>
      <c r="G40" s="3" t="n">
        <v>2497</v>
      </c>
      <c r="H40" s="3" t="n">
        <v>211</v>
      </c>
      <c r="I40" s="4" t="n">
        <v>73.59</v>
      </c>
    </row>
    <row r="41" customFormat="false" ht="15" hidden="false" customHeight="false" outlineLevel="0" collapsed="false">
      <c r="A41" s="2" t="s">
        <v>143</v>
      </c>
      <c r="B41" s="2" t="s">
        <v>144</v>
      </c>
      <c r="C41" s="8" t="n">
        <v>45299</v>
      </c>
      <c r="D41" s="3" t="n">
        <v>44188</v>
      </c>
      <c r="E41" s="3" t="n">
        <v>4817</v>
      </c>
      <c r="F41" s="2" t="s">
        <v>145</v>
      </c>
      <c r="G41" s="3" t="n">
        <v>2139</v>
      </c>
      <c r="H41" s="3" t="n">
        <v>105</v>
      </c>
      <c r="I41" s="4" t="n">
        <v>82.4</v>
      </c>
    </row>
    <row r="42" customFormat="false" ht="15" hidden="false" customHeight="false" outlineLevel="0" collapsed="false">
      <c r="A42" s="2" t="s">
        <v>146</v>
      </c>
      <c r="B42" s="2" t="s">
        <v>147</v>
      </c>
      <c r="C42" s="8" t="n">
        <v>45324</v>
      </c>
      <c r="D42" s="3" t="n">
        <v>43374</v>
      </c>
      <c r="E42" s="3" t="n">
        <v>4408</v>
      </c>
      <c r="F42" s="2" t="s">
        <v>148</v>
      </c>
      <c r="G42" s="3" t="n">
        <v>1663</v>
      </c>
      <c r="H42" s="3" t="n">
        <v>119</v>
      </c>
      <c r="I42" s="4" t="n">
        <v>110.72</v>
      </c>
    </row>
    <row r="43" customFormat="false" ht="15" hidden="false" customHeight="false" outlineLevel="0" collapsed="false">
      <c r="A43" s="2" t="s">
        <v>149</v>
      </c>
      <c r="B43" s="2" t="s">
        <v>150</v>
      </c>
      <c r="C43" s="8" t="n">
        <v>45315</v>
      </c>
      <c r="D43" s="3" t="n">
        <v>40841</v>
      </c>
      <c r="E43" s="3" t="n">
        <v>2774</v>
      </c>
      <c r="F43" s="2" t="s">
        <v>151</v>
      </c>
      <c r="G43" s="3" t="n">
        <v>1347</v>
      </c>
      <c r="H43" s="3" t="n">
        <v>94</v>
      </c>
      <c r="I43" s="4" t="n">
        <v>65.77</v>
      </c>
    </row>
    <row r="44" customFormat="false" ht="15" hidden="false" customHeight="false" outlineLevel="0" collapsed="false">
      <c r="A44" s="2" t="s">
        <v>152</v>
      </c>
      <c r="B44" s="2" t="s">
        <v>153</v>
      </c>
      <c r="C44" s="8" t="n">
        <v>45424</v>
      </c>
      <c r="D44" s="3" t="n">
        <v>39965</v>
      </c>
      <c r="E44" s="3" t="n">
        <v>2935</v>
      </c>
      <c r="F44" s="2" t="s">
        <v>154</v>
      </c>
      <c r="G44" s="3" t="n">
        <v>1925</v>
      </c>
      <c r="H44" s="3" t="n">
        <v>176</v>
      </c>
      <c r="I44" s="4" t="n">
        <v>78.73</v>
      </c>
    </row>
    <row r="45" customFormat="false" ht="15" hidden="false" customHeight="false" outlineLevel="0" collapsed="false">
      <c r="A45" s="2" t="s">
        <v>155</v>
      </c>
      <c r="B45" s="2" t="s">
        <v>156</v>
      </c>
      <c r="C45" s="8" t="n">
        <v>45597</v>
      </c>
      <c r="D45" s="3" t="n">
        <v>38881</v>
      </c>
      <c r="E45" s="3" t="n">
        <v>4434</v>
      </c>
      <c r="F45" s="2" t="s">
        <v>157</v>
      </c>
      <c r="G45" s="3" t="n">
        <v>1243</v>
      </c>
      <c r="H45" s="3" t="n">
        <v>231</v>
      </c>
      <c r="I45" s="4" t="n">
        <v>80.92</v>
      </c>
    </row>
    <row r="46" customFormat="false" ht="15" hidden="false" customHeight="false" outlineLevel="0" collapsed="false">
      <c r="A46" s="2" t="s">
        <v>158</v>
      </c>
      <c r="B46" s="2" t="s">
        <v>159</v>
      </c>
      <c r="C46" s="8" t="n">
        <v>45463</v>
      </c>
      <c r="D46" s="3" t="n">
        <v>38531</v>
      </c>
      <c r="E46" s="3" t="n">
        <v>3787</v>
      </c>
      <c r="F46" s="2" t="s">
        <v>160</v>
      </c>
      <c r="G46" s="3" t="n">
        <v>1434</v>
      </c>
      <c r="H46" s="3" t="n">
        <v>180</v>
      </c>
      <c r="I46" s="4" t="n">
        <v>110.6</v>
      </c>
    </row>
    <row r="47" customFormat="false" ht="15" hidden="false" customHeight="false" outlineLevel="0" collapsed="false">
      <c r="A47" s="2" t="s">
        <v>161</v>
      </c>
      <c r="B47" s="2" t="s">
        <v>162</v>
      </c>
      <c r="C47" s="8" t="n">
        <v>45295</v>
      </c>
      <c r="D47" s="3" t="n">
        <v>38264</v>
      </c>
      <c r="E47" s="3" t="n">
        <v>3537</v>
      </c>
      <c r="F47" s="2" t="s">
        <v>102</v>
      </c>
      <c r="G47" s="3" t="n">
        <v>1217</v>
      </c>
      <c r="H47" s="3" t="n">
        <v>185</v>
      </c>
      <c r="I47" s="4" t="n">
        <v>94.89</v>
      </c>
    </row>
    <row r="48" customFormat="false" ht="15" hidden="false" customHeight="false" outlineLevel="0" collapsed="false">
      <c r="A48" s="2" t="s">
        <v>163</v>
      </c>
      <c r="B48" s="2" t="s">
        <v>164</v>
      </c>
      <c r="C48" s="8" t="n">
        <v>45303</v>
      </c>
      <c r="D48" s="3" t="n">
        <v>37717</v>
      </c>
      <c r="E48" s="3" t="n">
        <v>2805</v>
      </c>
      <c r="F48" s="2" t="s">
        <v>165</v>
      </c>
      <c r="G48" s="3" t="n">
        <v>1752</v>
      </c>
      <c r="H48" s="3" t="n">
        <v>223</v>
      </c>
      <c r="I48" s="4" t="n">
        <v>76.67</v>
      </c>
    </row>
    <row r="49" customFormat="false" ht="15" hidden="false" customHeight="false" outlineLevel="0" collapsed="false">
      <c r="A49" s="2" t="s">
        <v>166</v>
      </c>
      <c r="B49" s="2" t="s">
        <v>167</v>
      </c>
      <c r="C49" s="8" t="n">
        <v>45346</v>
      </c>
      <c r="D49" s="3" t="n">
        <v>37663</v>
      </c>
      <c r="E49" s="3" t="n">
        <v>2781</v>
      </c>
      <c r="F49" s="2" t="s">
        <v>168</v>
      </c>
      <c r="G49" s="3" t="n">
        <v>1311</v>
      </c>
      <c r="H49" s="3" t="n">
        <v>177</v>
      </c>
      <c r="I49" s="4" t="n">
        <v>101.22</v>
      </c>
    </row>
    <row r="50" customFormat="false" ht="15" hidden="false" customHeight="false" outlineLevel="0" collapsed="false">
      <c r="A50" s="2" t="s">
        <v>169</v>
      </c>
      <c r="B50" s="2" t="s">
        <v>170</v>
      </c>
      <c r="C50" s="8" t="n">
        <v>45524</v>
      </c>
      <c r="D50" s="3" t="n">
        <v>37408</v>
      </c>
      <c r="E50" s="3" t="n">
        <v>2183</v>
      </c>
      <c r="F50" s="2" t="s">
        <v>171</v>
      </c>
      <c r="G50" s="3" t="n">
        <v>1807</v>
      </c>
      <c r="H50" s="3" t="n">
        <v>80</v>
      </c>
      <c r="I50" s="4" t="n">
        <v>73.98</v>
      </c>
    </row>
    <row r="51" customFormat="false" ht="15" hidden="false" customHeight="false" outlineLevel="0" collapsed="false">
      <c r="A51" s="2" t="s">
        <v>172</v>
      </c>
      <c r="B51" s="2" t="s">
        <v>173</v>
      </c>
      <c r="C51" s="8" t="n">
        <v>45582</v>
      </c>
      <c r="D51" s="3" t="n">
        <v>36944</v>
      </c>
      <c r="E51" s="3" t="n">
        <v>3676</v>
      </c>
      <c r="F51" s="2" t="s">
        <v>174</v>
      </c>
      <c r="G51" s="3" t="n">
        <v>1984</v>
      </c>
      <c r="H51" s="3" t="n">
        <v>202</v>
      </c>
      <c r="I51" s="4" t="n">
        <v>94.98</v>
      </c>
    </row>
    <row r="52" customFormat="false" ht="15" hidden="false" customHeight="false" outlineLevel="0" collapsed="false">
      <c r="A52" s="2" t="s">
        <v>175</v>
      </c>
      <c r="B52" s="2" t="s">
        <v>176</v>
      </c>
      <c r="C52" s="8" t="n">
        <v>45316</v>
      </c>
      <c r="D52" s="3" t="n">
        <v>36376</v>
      </c>
      <c r="E52" s="3" t="n">
        <v>2130</v>
      </c>
      <c r="F52" s="2" t="s">
        <v>177</v>
      </c>
      <c r="G52" s="3" t="n">
        <v>1988</v>
      </c>
      <c r="H52" s="3" t="n">
        <v>125</v>
      </c>
      <c r="I52" s="4" t="n">
        <v>65.56</v>
      </c>
    </row>
    <row r="53" customFormat="false" ht="15" hidden="false" customHeight="false" outlineLevel="0" collapsed="false">
      <c r="A53" s="2" t="s">
        <v>178</v>
      </c>
      <c r="B53" s="2" t="s">
        <v>179</v>
      </c>
      <c r="C53" s="8" t="n">
        <v>45643</v>
      </c>
      <c r="D53" s="3" t="n">
        <v>36195</v>
      </c>
      <c r="E53" s="3" t="n">
        <v>2037</v>
      </c>
      <c r="F53" s="2" t="s">
        <v>180</v>
      </c>
      <c r="G53" s="3" t="n">
        <v>1421</v>
      </c>
      <c r="H53" s="3" t="n">
        <v>73</v>
      </c>
      <c r="I53" s="4" t="n">
        <v>93.96</v>
      </c>
    </row>
    <row r="54" customFormat="false" ht="15" hidden="false" customHeight="false" outlineLevel="0" collapsed="false">
      <c r="A54" s="2" t="s">
        <v>181</v>
      </c>
      <c r="B54" s="2" t="s">
        <v>182</v>
      </c>
      <c r="C54" s="8" t="n">
        <v>45464</v>
      </c>
      <c r="D54" s="3" t="n">
        <v>35941</v>
      </c>
      <c r="E54" s="3" t="n">
        <v>3578</v>
      </c>
      <c r="F54" s="2" t="s">
        <v>174</v>
      </c>
      <c r="G54" s="3" t="n">
        <v>1670</v>
      </c>
      <c r="H54" s="3" t="n">
        <v>144</v>
      </c>
      <c r="I54" s="4" t="n">
        <v>74.73</v>
      </c>
    </row>
    <row r="55" customFormat="false" ht="15" hidden="false" customHeight="false" outlineLevel="0" collapsed="false">
      <c r="A55" s="2" t="s">
        <v>183</v>
      </c>
      <c r="B55" s="2" t="s">
        <v>184</v>
      </c>
      <c r="C55" s="8" t="n">
        <v>45556</v>
      </c>
      <c r="D55" s="3" t="n">
        <v>35805</v>
      </c>
      <c r="E55" s="3" t="n">
        <v>4034</v>
      </c>
      <c r="F55" s="2" t="s">
        <v>185</v>
      </c>
      <c r="G55" s="3" t="n">
        <v>1678</v>
      </c>
      <c r="H55" s="3" t="n">
        <v>205</v>
      </c>
      <c r="I55" s="4" t="n">
        <v>67.81</v>
      </c>
    </row>
    <row r="56" customFormat="false" ht="15" hidden="false" customHeight="false" outlineLevel="0" collapsed="false">
      <c r="A56" s="2" t="s">
        <v>186</v>
      </c>
      <c r="B56" s="2" t="s">
        <v>187</v>
      </c>
      <c r="C56" s="8" t="n">
        <v>45505</v>
      </c>
      <c r="D56" s="3" t="n">
        <v>34972</v>
      </c>
      <c r="E56" s="3" t="n">
        <v>3538</v>
      </c>
      <c r="F56" s="2" t="s">
        <v>105</v>
      </c>
      <c r="G56" s="3" t="n">
        <v>1545</v>
      </c>
      <c r="H56" s="3" t="n">
        <v>105</v>
      </c>
      <c r="I56" s="4" t="n">
        <v>74.81</v>
      </c>
    </row>
    <row r="57" customFormat="false" ht="15" hidden="false" customHeight="false" outlineLevel="0" collapsed="false">
      <c r="A57" s="2" t="s">
        <v>188</v>
      </c>
      <c r="B57" s="2" t="s">
        <v>189</v>
      </c>
      <c r="C57" s="8" t="n">
        <v>45581</v>
      </c>
      <c r="D57" s="3" t="n">
        <v>34965</v>
      </c>
      <c r="E57" s="3" t="n">
        <v>2942</v>
      </c>
      <c r="F57" s="2" t="s">
        <v>190</v>
      </c>
      <c r="G57" s="3" t="n">
        <v>1736</v>
      </c>
      <c r="H57" s="3" t="n">
        <v>138</v>
      </c>
      <c r="I57" s="4" t="n">
        <v>80.55</v>
      </c>
    </row>
    <row r="58" customFormat="false" ht="15" hidden="false" customHeight="false" outlineLevel="0" collapsed="false">
      <c r="A58" s="2" t="s">
        <v>191</v>
      </c>
      <c r="B58" s="2" t="s">
        <v>192</v>
      </c>
      <c r="C58" s="8" t="n">
        <v>45305</v>
      </c>
      <c r="D58" s="3" t="n">
        <v>34172</v>
      </c>
      <c r="E58" s="3" t="n">
        <v>2905</v>
      </c>
      <c r="F58" s="2" t="s">
        <v>193</v>
      </c>
      <c r="G58" s="3" t="n">
        <v>1240</v>
      </c>
      <c r="H58" s="3" t="n">
        <v>92</v>
      </c>
      <c r="I58" s="4" t="n">
        <v>70.11</v>
      </c>
    </row>
    <row r="59" customFormat="false" ht="15" hidden="false" customHeight="false" outlineLevel="0" collapsed="false">
      <c r="A59" s="2" t="s">
        <v>194</v>
      </c>
      <c r="B59" s="2" t="s">
        <v>195</v>
      </c>
      <c r="C59" s="8" t="n">
        <v>45575</v>
      </c>
      <c r="D59" s="3" t="n">
        <v>33813</v>
      </c>
      <c r="E59" s="3" t="n">
        <v>2774</v>
      </c>
      <c r="F59" s="2" t="s">
        <v>196</v>
      </c>
      <c r="G59" s="3" t="n">
        <v>2007</v>
      </c>
      <c r="H59" s="3" t="n">
        <v>75</v>
      </c>
      <c r="I59" s="4" t="n">
        <v>81.2</v>
      </c>
    </row>
    <row r="60" customFormat="false" ht="15" hidden="false" customHeight="false" outlineLevel="0" collapsed="false">
      <c r="A60" s="2" t="s">
        <v>197</v>
      </c>
      <c r="B60" s="2" t="s">
        <v>198</v>
      </c>
      <c r="C60" s="8" t="n">
        <v>45427</v>
      </c>
      <c r="D60" s="3" t="n">
        <v>33510</v>
      </c>
      <c r="E60" s="3" t="n">
        <v>2526</v>
      </c>
      <c r="F60" s="2" t="s">
        <v>199</v>
      </c>
      <c r="G60" s="3" t="n">
        <v>1103</v>
      </c>
      <c r="H60" s="3" t="n">
        <v>77</v>
      </c>
      <c r="I60" s="4" t="n">
        <v>67.85</v>
      </c>
    </row>
    <row r="61" customFormat="false" ht="15" hidden="false" customHeight="false" outlineLevel="0" collapsed="false">
      <c r="A61" s="2" t="s">
        <v>200</v>
      </c>
      <c r="B61" s="2" t="s">
        <v>201</v>
      </c>
      <c r="C61" s="8" t="n">
        <v>45644</v>
      </c>
      <c r="D61" s="3" t="n">
        <v>33468</v>
      </c>
      <c r="E61" s="3" t="n">
        <v>2917</v>
      </c>
      <c r="F61" s="2" t="s">
        <v>54</v>
      </c>
      <c r="G61" s="3" t="n">
        <v>1836</v>
      </c>
      <c r="H61" s="3" t="n">
        <v>164</v>
      </c>
      <c r="I61" s="4" t="n">
        <v>81.17</v>
      </c>
    </row>
    <row r="62" customFormat="false" ht="15" hidden="false" customHeight="false" outlineLevel="0" collapsed="false">
      <c r="A62" s="2" t="s">
        <v>202</v>
      </c>
      <c r="B62" s="2" t="s">
        <v>203</v>
      </c>
      <c r="C62" s="8" t="n">
        <v>45468</v>
      </c>
      <c r="D62" s="3" t="n">
        <v>33425</v>
      </c>
      <c r="E62" s="3" t="n">
        <v>2732</v>
      </c>
      <c r="F62" s="2" t="s">
        <v>66</v>
      </c>
      <c r="G62" s="3" t="n">
        <v>1598</v>
      </c>
      <c r="H62" s="3" t="n">
        <v>182</v>
      </c>
      <c r="I62" s="4" t="n">
        <v>78.93</v>
      </c>
    </row>
    <row r="63" customFormat="false" ht="15" hidden="false" customHeight="false" outlineLevel="0" collapsed="false">
      <c r="A63" s="2" t="s">
        <v>204</v>
      </c>
      <c r="B63" s="2" t="s">
        <v>205</v>
      </c>
      <c r="C63" s="8" t="n">
        <v>45453</v>
      </c>
      <c r="D63" s="3" t="n">
        <v>33228</v>
      </c>
      <c r="E63" s="3" t="n">
        <v>3047</v>
      </c>
      <c r="F63" s="2" t="s">
        <v>206</v>
      </c>
      <c r="G63" s="3" t="n">
        <v>1240</v>
      </c>
      <c r="H63" s="3" t="n">
        <v>85</v>
      </c>
      <c r="I63" s="4" t="n">
        <v>72.76</v>
      </c>
    </row>
    <row r="64" customFormat="false" ht="15" hidden="false" customHeight="false" outlineLevel="0" collapsed="false">
      <c r="A64" s="2" t="s">
        <v>207</v>
      </c>
      <c r="B64" s="2" t="s">
        <v>208</v>
      </c>
      <c r="C64" s="8" t="n">
        <v>45350</v>
      </c>
      <c r="D64" s="3" t="n">
        <v>31667</v>
      </c>
      <c r="E64" s="3" t="n">
        <v>3471</v>
      </c>
      <c r="F64" s="2" t="s">
        <v>209</v>
      </c>
      <c r="G64" s="3" t="n">
        <v>1658</v>
      </c>
      <c r="H64" s="3" t="n">
        <v>99</v>
      </c>
      <c r="I64" s="4" t="n">
        <v>65.5</v>
      </c>
    </row>
    <row r="65" customFormat="false" ht="15" hidden="false" customHeight="false" outlineLevel="0" collapsed="false">
      <c r="A65" s="2" t="s">
        <v>210</v>
      </c>
      <c r="B65" s="2" t="s">
        <v>211</v>
      </c>
      <c r="C65" s="8" t="n">
        <v>45534</v>
      </c>
      <c r="D65" s="3" t="n">
        <v>31629</v>
      </c>
      <c r="E65" s="3" t="n">
        <v>3650</v>
      </c>
      <c r="F65" s="2" t="s">
        <v>212</v>
      </c>
      <c r="G65" s="3" t="n">
        <v>1029</v>
      </c>
      <c r="H65" s="3" t="n">
        <v>87</v>
      </c>
      <c r="I65" s="4" t="n">
        <v>71.5</v>
      </c>
    </row>
    <row r="66" customFormat="false" ht="15" hidden="false" customHeight="false" outlineLevel="0" collapsed="false">
      <c r="A66" s="2" t="s">
        <v>213</v>
      </c>
      <c r="B66" s="2" t="s">
        <v>214</v>
      </c>
      <c r="C66" s="8" t="n">
        <v>45435</v>
      </c>
      <c r="D66" s="3" t="n">
        <v>31490</v>
      </c>
      <c r="E66" s="3" t="n">
        <v>1911</v>
      </c>
      <c r="F66" s="2" t="s">
        <v>215</v>
      </c>
      <c r="G66" s="3" t="n">
        <v>1676</v>
      </c>
      <c r="H66" s="3" t="n">
        <v>66</v>
      </c>
      <c r="I66" s="4" t="n">
        <v>75.58</v>
      </c>
    </row>
    <row r="67" customFormat="false" ht="15" hidden="false" customHeight="false" outlineLevel="0" collapsed="false">
      <c r="A67" s="2" t="s">
        <v>216</v>
      </c>
      <c r="B67" s="2" t="s">
        <v>217</v>
      </c>
      <c r="C67" s="8" t="n">
        <v>45366</v>
      </c>
      <c r="D67" s="3" t="n">
        <v>30666</v>
      </c>
      <c r="E67" s="3" t="n">
        <v>2421</v>
      </c>
      <c r="F67" s="2" t="s">
        <v>218</v>
      </c>
      <c r="G67" s="3" t="n">
        <v>1462</v>
      </c>
      <c r="H67" s="3" t="n">
        <v>129</v>
      </c>
      <c r="I67" s="4" t="n">
        <v>92.33</v>
      </c>
    </row>
    <row r="68" customFormat="false" ht="15" hidden="false" customHeight="false" outlineLevel="0" collapsed="false">
      <c r="A68" s="2" t="s">
        <v>219</v>
      </c>
      <c r="B68" s="2" t="s">
        <v>220</v>
      </c>
      <c r="C68" s="8" t="n">
        <v>45568</v>
      </c>
      <c r="D68" s="3" t="n">
        <v>30283</v>
      </c>
      <c r="E68" s="3" t="n">
        <v>2022</v>
      </c>
      <c r="F68" s="2" t="s">
        <v>221</v>
      </c>
      <c r="G68" s="3" t="n">
        <v>1009</v>
      </c>
      <c r="H68" s="3" t="n">
        <v>145</v>
      </c>
      <c r="I68" s="4" t="n">
        <v>77.05</v>
      </c>
    </row>
    <row r="69" customFormat="false" ht="15" hidden="false" customHeight="false" outlineLevel="0" collapsed="false">
      <c r="A69" s="2" t="s">
        <v>222</v>
      </c>
      <c r="B69" s="2" t="s">
        <v>223</v>
      </c>
      <c r="C69" s="8" t="n">
        <v>45602</v>
      </c>
      <c r="D69" s="3" t="n">
        <v>29651</v>
      </c>
      <c r="E69" s="3" t="n">
        <v>2284</v>
      </c>
      <c r="F69" s="2" t="s">
        <v>224</v>
      </c>
      <c r="G69" s="3" t="n">
        <v>960</v>
      </c>
      <c r="H69" s="3" t="n">
        <v>136</v>
      </c>
      <c r="I69" s="4" t="n">
        <v>75.86</v>
      </c>
    </row>
    <row r="70" customFormat="false" ht="15" hidden="false" customHeight="false" outlineLevel="0" collapsed="false">
      <c r="A70" s="2" t="s">
        <v>225</v>
      </c>
      <c r="B70" s="2" t="s">
        <v>226</v>
      </c>
      <c r="C70" s="8" t="n">
        <v>45566</v>
      </c>
      <c r="D70" s="3" t="n">
        <v>29570</v>
      </c>
      <c r="E70" s="3" t="n">
        <v>2163</v>
      </c>
      <c r="F70" s="2" t="s">
        <v>227</v>
      </c>
      <c r="G70" s="3" t="n">
        <v>1553</v>
      </c>
      <c r="H70" s="3" t="n">
        <v>105</v>
      </c>
      <c r="I70" s="4" t="n">
        <v>103.85</v>
      </c>
    </row>
    <row r="71" customFormat="false" ht="15" hidden="false" customHeight="false" outlineLevel="0" collapsed="false">
      <c r="A71" s="2" t="s">
        <v>228</v>
      </c>
      <c r="B71" s="2" t="s">
        <v>229</v>
      </c>
      <c r="C71" s="8" t="n">
        <v>45336</v>
      </c>
      <c r="D71" s="3" t="n">
        <v>29097</v>
      </c>
      <c r="E71" s="3" t="n">
        <v>1932</v>
      </c>
      <c r="F71" s="2" t="s">
        <v>230</v>
      </c>
      <c r="G71" s="3" t="n">
        <v>1128</v>
      </c>
      <c r="H71" s="3" t="n">
        <v>122</v>
      </c>
      <c r="I71" s="4" t="n">
        <v>69.47</v>
      </c>
    </row>
    <row r="72" customFormat="false" ht="15" hidden="false" customHeight="false" outlineLevel="0" collapsed="false">
      <c r="A72" s="2" t="s">
        <v>231</v>
      </c>
      <c r="B72" s="2" t="s">
        <v>232</v>
      </c>
      <c r="C72" s="8" t="n">
        <v>45418</v>
      </c>
      <c r="D72" s="3" t="n">
        <v>28985</v>
      </c>
      <c r="E72" s="3" t="n">
        <v>2945</v>
      </c>
      <c r="F72" s="2" t="s">
        <v>148</v>
      </c>
      <c r="G72" s="3" t="n">
        <v>1642</v>
      </c>
      <c r="H72" s="3" t="n">
        <v>68</v>
      </c>
      <c r="I72" s="4" t="n">
        <v>68.88</v>
      </c>
    </row>
    <row r="73" customFormat="false" ht="15" hidden="false" customHeight="false" outlineLevel="0" collapsed="false">
      <c r="A73" s="2" t="s">
        <v>233</v>
      </c>
      <c r="B73" s="2" t="s">
        <v>234</v>
      </c>
      <c r="C73" s="8" t="n">
        <v>45595</v>
      </c>
      <c r="D73" s="3" t="n">
        <v>28480</v>
      </c>
      <c r="E73" s="3" t="n">
        <v>2439</v>
      </c>
      <c r="F73" s="2" t="s">
        <v>235</v>
      </c>
      <c r="G73" s="3" t="n">
        <v>1505</v>
      </c>
      <c r="H73" s="3" t="n">
        <v>74</v>
      </c>
      <c r="I73" s="4" t="n">
        <v>69.95</v>
      </c>
    </row>
    <row r="74" customFormat="false" ht="15" hidden="false" customHeight="false" outlineLevel="0" collapsed="false">
      <c r="A74" s="2" t="s">
        <v>236</v>
      </c>
      <c r="B74" s="2" t="s">
        <v>237</v>
      </c>
      <c r="C74" s="8" t="n">
        <v>45323</v>
      </c>
      <c r="D74" s="3" t="n">
        <v>28217</v>
      </c>
      <c r="E74" s="3" t="n">
        <v>3129</v>
      </c>
      <c r="F74" s="2" t="s">
        <v>238</v>
      </c>
      <c r="G74" s="3" t="n">
        <v>1437</v>
      </c>
      <c r="H74" s="3" t="n">
        <v>161</v>
      </c>
      <c r="I74" s="4" t="n">
        <v>53.6</v>
      </c>
    </row>
    <row r="75" customFormat="false" ht="15" hidden="false" customHeight="false" outlineLevel="0" collapsed="false">
      <c r="A75" s="2" t="s">
        <v>239</v>
      </c>
      <c r="B75" s="2" t="s">
        <v>240</v>
      </c>
      <c r="C75" s="8" t="n">
        <v>45573</v>
      </c>
      <c r="D75" s="3" t="n">
        <v>28163</v>
      </c>
      <c r="E75" s="3" t="n">
        <v>1632</v>
      </c>
      <c r="F75" s="2" t="s">
        <v>113</v>
      </c>
      <c r="G75" s="3" t="n">
        <v>1080</v>
      </c>
      <c r="H75" s="3" t="n">
        <v>142</v>
      </c>
      <c r="I75" s="4" t="n">
        <v>58.23</v>
      </c>
    </row>
    <row r="76" customFormat="false" ht="15" hidden="false" customHeight="false" outlineLevel="0" collapsed="false">
      <c r="A76" s="2" t="s">
        <v>241</v>
      </c>
      <c r="B76" s="2" t="s">
        <v>242</v>
      </c>
      <c r="C76" s="8" t="n">
        <v>45293</v>
      </c>
      <c r="D76" s="3" t="n">
        <v>27747</v>
      </c>
      <c r="E76" s="3" t="n">
        <v>1664</v>
      </c>
      <c r="F76" s="2" t="s">
        <v>243</v>
      </c>
      <c r="G76" s="3" t="n">
        <v>1422</v>
      </c>
      <c r="H76" s="3" t="n">
        <v>157</v>
      </c>
      <c r="I76" s="4" t="n">
        <v>56.83</v>
      </c>
    </row>
    <row r="77" customFormat="false" ht="15" hidden="false" customHeight="false" outlineLevel="0" collapsed="false">
      <c r="A77" s="2" t="s">
        <v>244</v>
      </c>
      <c r="B77" s="2" t="s">
        <v>245</v>
      </c>
      <c r="C77" s="8" t="n">
        <v>45615</v>
      </c>
      <c r="D77" s="3" t="n">
        <v>27554</v>
      </c>
      <c r="E77" s="3" t="n">
        <v>2206</v>
      </c>
      <c r="F77" s="2" t="s">
        <v>246</v>
      </c>
      <c r="G77" s="3" t="n">
        <v>1610</v>
      </c>
      <c r="H77" s="3" t="n">
        <v>156</v>
      </c>
      <c r="I77" s="4" t="n">
        <v>67.1</v>
      </c>
    </row>
    <row r="78" customFormat="false" ht="15" hidden="false" customHeight="false" outlineLevel="0" collapsed="false">
      <c r="A78" s="2" t="s">
        <v>247</v>
      </c>
      <c r="B78" s="2" t="s">
        <v>248</v>
      </c>
      <c r="C78" s="8" t="n">
        <v>45531</v>
      </c>
      <c r="D78" s="3" t="n">
        <v>26879</v>
      </c>
      <c r="E78" s="3" t="n">
        <v>1634</v>
      </c>
      <c r="F78" s="2" t="s">
        <v>249</v>
      </c>
      <c r="G78" s="3" t="n">
        <v>880</v>
      </c>
      <c r="H78" s="3" t="n">
        <v>123</v>
      </c>
      <c r="I78" s="4" t="n">
        <v>57.87</v>
      </c>
    </row>
    <row r="79" customFormat="false" ht="15" hidden="false" customHeight="false" outlineLevel="0" collapsed="false">
      <c r="A79" s="2" t="s">
        <v>250</v>
      </c>
      <c r="B79" s="2" t="s">
        <v>251</v>
      </c>
      <c r="C79" s="8" t="n">
        <v>45397</v>
      </c>
      <c r="D79" s="3" t="n">
        <v>26614</v>
      </c>
      <c r="E79" s="3" t="n">
        <v>1908</v>
      </c>
      <c r="F79" s="2" t="s">
        <v>252</v>
      </c>
      <c r="G79" s="3" t="n">
        <v>1058</v>
      </c>
      <c r="H79" s="3" t="n">
        <v>152</v>
      </c>
      <c r="I79" s="4" t="n">
        <v>60.05</v>
      </c>
    </row>
    <row r="80" customFormat="false" ht="15" hidden="false" customHeight="false" outlineLevel="0" collapsed="false">
      <c r="A80" s="2" t="s">
        <v>253</v>
      </c>
      <c r="B80" s="2" t="s">
        <v>254</v>
      </c>
      <c r="C80" s="8" t="n">
        <v>45344</v>
      </c>
      <c r="D80" s="3" t="n">
        <v>26540</v>
      </c>
      <c r="E80" s="3" t="n">
        <v>3049</v>
      </c>
      <c r="F80" s="2" t="s">
        <v>72</v>
      </c>
      <c r="G80" s="3" t="n">
        <v>983</v>
      </c>
      <c r="H80" s="3" t="n">
        <v>97</v>
      </c>
      <c r="I80" s="4" t="n">
        <v>69.04</v>
      </c>
    </row>
    <row r="81" customFormat="false" ht="15" hidden="false" customHeight="false" outlineLevel="0" collapsed="false">
      <c r="A81" s="2" t="s">
        <v>255</v>
      </c>
      <c r="B81" s="2" t="s">
        <v>256</v>
      </c>
      <c r="C81" s="8" t="n">
        <v>45559</v>
      </c>
      <c r="D81" s="3" t="n">
        <v>26490</v>
      </c>
      <c r="E81" s="3" t="n">
        <v>1814</v>
      </c>
      <c r="F81" s="2" t="s">
        <v>257</v>
      </c>
      <c r="G81" s="3" t="n">
        <v>1107</v>
      </c>
      <c r="H81" s="3" t="n">
        <v>53</v>
      </c>
      <c r="I81" s="4" t="n">
        <v>66.63</v>
      </c>
    </row>
    <row r="82" customFormat="false" ht="15" hidden="false" customHeight="false" outlineLevel="0" collapsed="false">
      <c r="A82" s="2" t="s">
        <v>258</v>
      </c>
      <c r="B82" s="2" t="s">
        <v>259</v>
      </c>
      <c r="C82" s="8" t="n">
        <v>45304</v>
      </c>
      <c r="D82" s="3" t="n">
        <v>26235</v>
      </c>
      <c r="E82" s="3" t="n">
        <v>1779</v>
      </c>
      <c r="F82" s="2" t="s">
        <v>260</v>
      </c>
      <c r="G82" s="3" t="n">
        <v>1371</v>
      </c>
      <c r="H82" s="3" t="n">
        <v>59</v>
      </c>
      <c r="I82" s="4" t="n">
        <v>56.59</v>
      </c>
    </row>
    <row r="83" customFormat="false" ht="15" hidden="false" customHeight="false" outlineLevel="0" collapsed="false">
      <c r="A83" s="2" t="s">
        <v>261</v>
      </c>
      <c r="B83" s="2" t="s">
        <v>262</v>
      </c>
      <c r="C83" s="8" t="n">
        <v>45637</v>
      </c>
      <c r="D83" s="3" t="n">
        <v>26233</v>
      </c>
      <c r="E83" s="3" t="n">
        <v>2367</v>
      </c>
      <c r="F83" s="2" t="s">
        <v>263</v>
      </c>
      <c r="G83" s="3" t="n">
        <v>1160</v>
      </c>
      <c r="H83" s="3" t="n">
        <v>63</v>
      </c>
      <c r="I83" s="4" t="n">
        <v>52.43</v>
      </c>
    </row>
    <row r="84" customFormat="false" ht="15" hidden="false" customHeight="false" outlineLevel="0" collapsed="false">
      <c r="A84" s="2" t="s">
        <v>264</v>
      </c>
      <c r="B84" s="2" t="s">
        <v>265</v>
      </c>
      <c r="C84" s="8" t="n">
        <v>45621</v>
      </c>
      <c r="D84" s="3" t="n">
        <v>25957</v>
      </c>
      <c r="E84" s="3" t="n">
        <v>2225</v>
      </c>
      <c r="F84" s="2" t="s">
        <v>266</v>
      </c>
      <c r="G84" s="3" t="n">
        <v>1223</v>
      </c>
      <c r="H84" s="3" t="n">
        <v>61</v>
      </c>
      <c r="I84" s="4" t="n">
        <v>68.01</v>
      </c>
    </row>
    <row r="85" customFormat="false" ht="15" hidden="false" customHeight="false" outlineLevel="0" collapsed="false">
      <c r="A85" s="2" t="s">
        <v>267</v>
      </c>
      <c r="B85" s="2" t="s">
        <v>268</v>
      </c>
      <c r="C85" s="8" t="n">
        <v>45360</v>
      </c>
      <c r="D85" s="3" t="n">
        <v>25869</v>
      </c>
      <c r="E85" s="3" t="n">
        <v>2345</v>
      </c>
      <c r="F85" s="2" t="s">
        <v>269</v>
      </c>
      <c r="G85" s="3" t="n">
        <v>1019</v>
      </c>
      <c r="H85" s="3" t="n">
        <v>88</v>
      </c>
      <c r="I85" s="4" t="n">
        <v>64.2</v>
      </c>
    </row>
    <row r="86" customFormat="false" ht="15" hidden="false" customHeight="false" outlineLevel="0" collapsed="false">
      <c r="A86" s="2" t="s">
        <v>270</v>
      </c>
      <c r="B86" s="2" t="s">
        <v>271</v>
      </c>
      <c r="C86" s="8" t="n">
        <v>45651</v>
      </c>
      <c r="D86" s="3" t="n">
        <v>25295</v>
      </c>
      <c r="E86" s="3" t="n">
        <v>1985</v>
      </c>
      <c r="F86" s="2" t="s">
        <v>46</v>
      </c>
      <c r="G86" s="3" t="n">
        <v>866</v>
      </c>
      <c r="H86" s="3" t="n">
        <v>121</v>
      </c>
      <c r="I86" s="4" t="n">
        <v>43.93</v>
      </c>
    </row>
    <row r="87" customFormat="false" ht="15" hidden="false" customHeight="false" outlineLevel="0" collapsed="false">
      <c r="A87" s="2" t="s">
        <v>272</v>
      </c>
      <c r="B87" s="2" t="s">
        <v>273</v>
      </c>
      <c r="C87" s="8" t="n">
        <v>45473</v>
      </c>
      <c r="D87" s="3" t="n">
        <v>25255</v>
      </c>
      <c r="E87" s="3" t="n">
        <v>2661</v>
      </c>
      <c r="F87" s="2" t="s">
        <v>274</v>
      </c>
      <c r="G87" s="3" t="n">
        <v>959</v>
      </c>
      <c r="H87" s="3" t="n">
        <v>130</v>
      </c>
      <c r="I87" s="4" t="n">
        <v>53.25</v>
      </c>
    </row>
    <row r="88" customFormat="false" ht="15" hidden="false" customHeight="false" outlineLevel="0" collapsed="false">
      <c r="A88" s="2" t="s">
        <v>275</v>
      </c>
      <c r="B88" s="2" t="s">
        <v>276</v>
      </c>
      <c r="C88" s="8" t="n">
        <v>45367</v>
      </c>
      <c r="D88" s="3" t="n">
        <v>25104</v>
      </c>
      <c r="E88" s="3" t="n">
        <v>1613</v>
      </c>
      <c r="F88" s="2" t="s">
        <v>277</v>
      </c>
      <c r="G88" s="3" t="n">
        <v>1400</v>
      </c>
      <c r="H88" s="3" t="n">
        <v>109</v>
      </c>
      <c r="I88" s="4" t="n">
        <v>56.87</v>
      </c>
    </row>
    <row r="89" customFormat="false" ht="15" hidden="false" customHeight="false" outlineLevel="0" collapsed="false">
      <c r="A89" s="2" t="s">
        <v>278</v>
      </c>
      <c r="B89" s="2" t="s">
        <v>279</v>
      </c>
      <c r="C89" s="8" t="n">
        <v>45532</v>
      </c>
      <c r="D89" s="3" t="n">
        <v>24773</v>
      </c>
      <c r="E89" s="3" t="n">
        <v>2021</v>
      </c>
      <c r="F89" s="2" t="s">
        <v>66</v>
      </c>
      <c r="G89" s="3" t="n">
        <v>1190</v>
      </c>
      <c r="H89" s="3" t="n">
        <v>64</v>
      </c>
      <c r="I89" s="4" t="n">
        <v>61.53</v>
      </c>
    </row>
    <row r="90" customFormat="false" ht="15" hidden="false" customHeight="false" outlineLevel="0" collapsed="false">
      <c r="A90" s="2" t="s">
        <v>280</v>
      </c>
      <c r="B90" s="2" t="s">
        <v>281</v>
      </c>
      <c r="C90" s="8" t="n">
        <v>45564</v>
      </c>
      <c r="D90" s="3" t="n">
        <v>24721</v>
      </c>
      <c r="E90" s="3" t="n">
        <v>2402</v>
      </c>
      <c r="F90" s="2" t="s">
        <v>282</v>
      </c>
      <c r="G90" s="3" t="n">
        <v>1021</v>
      </c>
      <c r="H90" s="3" t="n">
        <v>123</v>
      </c>
      <c r="I90" s="4" t="n">
        <v>62.62</v>
      </c>
    </row>
    <row r="91" customFormat="false" ht="15" hidden="false" customHeight="false" outlineLevel="0" collapsed="false">
      <c r="A91" s="2" t="s">
        <v>283</v>
      </c>
      <c r="B91" s="2" t="s">
        <v>284</v>
      </c>
      <c r="C91" s="8" t="n">
        <v>45642</v>
      </c>
      <c r="D91" s="3" t="n">
        <v>24602</v>
      </c>
      <c r="E91" s="3" t="n">
        <v>2653</v>
      </c>
      <c r="F91" s="2" t="s">
        <v>96</v>
      </c>
      <c r="G91" s="3" t="n">
        <v>1321</v>
      </c>
      <c r="H91" s="3" t="n">
        <v>84</v>
      </c>
      <c r="I91" s="4" t="n">
        <v>56.73</v>
      </c>
    </row>
    <row r="92" customFormat="false" ht="15" hidden="false" customHeight="false" outlineLevel="0" collapsed="false">
      <c r="A92" s="2" t="s">
        <v>285</v>
      </c>
      <c r="B92" s="2" t="s">
        <v>286</v>
      </c>
      <c r="C92" s="8" t="n">
        <v>45470</v>
      </c>
      <c r="D92" s="3" t="n">
        <v>24403</v>
      </c>
      <c r="E92" s="3" t="n">
        <v>1905</v>
      </c>
      <c r="F92" s="2" t="s">
        <v>287</v>
      </c>
      <c r="G92" s="3" t="n">
        <v>779</v>
      </c>
      <c r="H92" s="3" t="n">
        <v>50</v>
      </c>
      <c r="I92" s="4" t="n">
        <v>58.88</v>
      </c>
    </row>
    <row r="93" customFormat="false" ht="15" hidden="false" customHeight="false" outlineLevel="0" collapsed="false">
      <c r="A93" s="2" t="s">
        <v>288</v>
      </c>
      <c r="B93" s="2" t="s">
        <v>289</v>
      </c>
      <c r="C93" s="8" t="n">
        <v>45387</v>
      </c>
      <c r="D93" s="3" t="n">
        <v>24324</v>
      </c>
      <c r="E93" s="3" t="n">
        <v>2187</v>
      </c>
      <c r="F93" s="2" t="s">
        <v>290</v>
      </c>
      <c r="G93" s="3" t="n">
        <v>914</v>
      </c>
      <c r="H93" s="3" t="n">
        <v>75</v>
      </c>
      <c r="I93" s="4" t="n">
        <v>54.27</v>
      </c>
    </row>
    <row r="94" customFormat="false" ht="15" hidden="false" customHeight="false" outlineLevel="0" collapsed="false">
      <c r="A94" s="2" t="s">
        <v>291</v>
      </c>
      <c r="B94" s="2" t="s">
        <v>292</v>
      </c>
      <c r="C94" s="8" t="n">
        <v>45462</v>
      </c>
      <c r="D94" s="3" t="n">
        <v>24317</v>
      </c>
      <c r="E94" s="3" t="n">
        <v>1462</v>
      </c>
      <c r="F94" s="2" t="s">
        <v>243</v>
      </c>
      <c r="G94" s="3" t="n">
        <v>897</v>
      </c>
      <c r="H94" s="3" t="n">
        <v>80</v>
      </c>
      <c r="I94" s="4" t="n">
        <v>48.57</v>
      </c>
    </row>
    <row r="95" customFormat="false" ht="15" hidden="false" customHeight="false" outlineLevel="0" collapsed="false">
      <c r="A95" s="2" t="s">
        <v>293</v>
      </c>
      <c r="B95" s="2" t="s">
        <v>294</v>
      </c>
      <c r="C95" s="8" t="n">
        <v>45412</v>
      </c>
      <c r="D95" s="3" t="n">
        <v>24174</v>
      </c>
      <c r="E95" s="3" t="n">
        <v>1599</v>
      </c>
      <c r="F95" s="2" t="s">
        <v>295</v>
      </c>
      <c r="G95" s="3" t="n">
        <v>1439</v>
      </c>
      <c r="H95" s="3" t="n">
        <v>74</v>
      </c>
      <c r="I95" s="4" t="n">
        <v>51.37</v>
      </c>
    </row>
    <row r="96" customFormat="false" ht="15" hidden="false" customHeight="false" outlineLevel="0" collapsed="false">
      <c r="A96" s="2" t="s">
        <v>296</v>
      </c>
      <c r="B96" s="2" t="s">
        <v>297</v>
      </c>
      <c r="C96" s="8" t="n">
        <v>45552</v>
      </c>
      <c r="D96" s="3" t="n">
        <v>24106</v>
      </c>
      <c r="E96" s="3" t="n">
        <v>1449</v>
      </c>
      <c r="F96" s="2" t="s">
        <v>243</v>
      </c>
      <c r="G96" s="3" t="n">
        <v>1233</v>
      </c>
      <c r="H96" s="3" t="n">
        <v>126</v>
      </c>
      <c r="I96" s="4" t="n">
        <v>53.42</v>
      </c>
    </row>
    <row r="97" customFormat="false" ht="15" hidden="false" customHeight="false" outlineLevel="0" collapsed="false">
      <c r="A97" s="2" t="s">
        <v>298</v>
      </c>
      <c r="B97" s="2" t="s">
        <v>299</v>
      </c>
      <c r="C97" s="8" t="n">
        <v>45417</v>
      </c>
      <c r="D97" s="3" t="n">
        <v>23970</v>
      </c>
      <c r="E97" s="3" t="n">
        <v>2384</v>
      </c>
      <c r="F97" s="2" t="s">
        <v>174</v>
      </c>
      <c r="G97" s="3" t="n">
        <v>1163</v>
      </c>
      <c r="H97" s="3" t="n">
        <v>120</v>
      </c>
      <c r="I97" s="4" t="n">
        <v>52.7</v>
      </c>
    </row>
    <row r="98" customFormat="false" ht="15" hidden="false" customHeight="false" outlineLevel="0" collapsed="false">
      <c r="A98" s="2" t="s">
        <v>300</v>
      </c>
      <c r="B98" s="2" t="s">
        <v>301</v>
      </c>
      <c r="C98" s="8" t="n">
        <v>45389</v>
      </c>
      <c r="D98" s="3" t="n">
        <v>23759</v>
      </c>
      <c r="E98" s="3" t="n">
        <v>1739</v>
      </c>
      <c r="F98" s="2" t="s">
        <v>227</v>
      </c>
      <c r="G98" s="3" t="n">
        <v>716</v>
      </c>
      <c r="H98" s="3" t="n">
        <v>113</v>
      </c>
      <c r="I98" s="4" t="n">
        <v>39.57</v>
      </c>
    </row>
    <row r="99" customFormat="false" ht="15" hidden="false" customHeight="false" outlineLevel="0" collapsed="false">
      <c r="A99" s="2" t="s">
        <v>302</v>
      </c>
      <c r="B99" s="2" t="s">
        <v>303</v>
      </c>
      <c r="C99" s="8" t="n">
        <v>45328</v>
      </c>
      <c r="D99" s="3" t="n">
        <v>23736</v>
      </c>
      <c r="E99" s="3" t="n">
        <v>2355</v>
      </c>
      <c r="F99" s="2" t="s">
        <v>93</v>
      </c>
      <c r="G99" s="3" t="n">
        <v>843</v>
      </c>
      <c r="H99" s="3" t="n">
        <v>60</v>
      </c>
      <c r="I99" s="4" t="n">
        <v>49.42</v>
      </c>
    </row>
    <row r="100" customFormat="false" ht="15" hidden="false" customHeight="false" outlineLevel="0" collapsed="false">
      <c r="A100" s="2" t="s">
        <v>304</v>
      </c>
      <c r="B100" s="2" t="s">
        <v>305</v>
      </c>
      <c r="C100" s="8" t="n">
        <v>45450</v>
      </c>
      <c r="D100" s="3" t="n">
        <v>23710</v>
      </c>
      <c r="E100" s="3" t="n">
        <v>1421</v>
      </c>
      <c r="F100" s="2" t="s">
        <v>243</v>
      </c>
      <c r="G100" s="3" t="n">
        <v>1163</v>
      </c>
      <c r="H100" s="3" t="n">
        <v>124</v>
      </c>
      <c r="I100" s="4" t="n">
        <v>52.84</v>
      </c>
    </row>
    <row r="101" customFormat="false" ht="15" hidden="false" customHeight="false" outlineLevel="0" collapsed="false">
      <c r="A101" s="2" t="s">
        <v>306</v>
      </c>
      <c r="B101" s="2" t="s">
        <v>307</v>
      </c>
      <c r="C101" s="8" t="n">
        <v>45393</v>
      </c>
      <c r="D101" s="3" t="n">
        <v>23467</v>
      </c>
      <c r="E101" s="3" t="n">
        <v>2523</v>
      </c>
      <c r="F101" s="2" t="s">
        <v>122</v>
      </c>
      <c r="G101" s="3" t="n">
        <v>971</v>
      </c>
      <c r="H101" s="3" t="n">
        <v>110</v>
      </c>
      <c r="I101" s="4" t="n">
        <v>49.72</v>
      </c>
    </row>
    <row r="102" customFormat="false" ht="15" hidden="false" customHeight="false" outlineLevel="0" collapsed="false">
      <c r="A102" s="2" t="s">
        <v>308</v>
      </c>
      <c r="B102" s="2" t="s">
        <v>309</v>
      </c>
      <c r="C102" s="8" t="n">
        <v>45630</v>
      </c>
      <c r="D102" s="3" t="n">
        <v>23456</v>
      </c>
      <c r="E102" s="3" t="n">
        <v>2484</v>
      </c>
      <c r="F102" s="2" t="s">
        <v>310</v>
      </c>
      <c r="G102" s="3" t="n">
        <v>1354</v>
      </c>
      <c r="H102" s="3" t="n">
        <v>65</v>
      </c>
      <c r="I102" s="4" t="n">
        <v>49.95</v>
      </c>
    </row>
    <row r="103" customFormat="false" ht="15" hidden="false" customHeight="false" outlineLevel="0" collapsed="false">
      <c r="A103" s="2" t="s">
        <v>311</v>
      </c>
      <c r="B103" s="2" t="s">
        <v>312</v>
      </c>
      <c r="C103" s="8" t="n">
        <v>45558</v>
      </c>
      <c r="D103" s="3" t="n">
        <v>23376</v>
      </c>
      <c r="E103" s="3" t="n">
        <v>1433</v>
      </c>
      <c r="F103" s="2" t="s">
        <v>313</v>
      </c>
      <c r="G103" s="3" t="n">
        <v>1237</v>
      </c>
      <c r="H103" s="3" t="n">
        <v>107</v>
      </c>
      <c r="I103" s="4" t="n">
        <v>55.58</v>
      </c>
    </row>
    <row r="104" customFormat="false" ht="15" hidden="false" customHeight="false" outlineLevel="0" collapsed="false">
      <c r="A104" s="2" t="s">
        <v>314</v>
      </c>
      <c r="B104" s="2" t="s">
        <v>315</v>
      </c>
      <c r="C104" s="8" t="n">
        <v>45609</v>
      </c>
      <c r="D104" s="3" t="n">
        <v>23281</v>
      </c>
      <c r="E104" s="3" t="n">
        <v>1336</v>
      </c>
      <c r="F104" s="2" t="s">
        <v>316</v>
      </c>
      <c r="G104" s="3" t="n">
        <v>1010</v>
      </c>
      <c r="H104" s="3" t="n">
        <v>91</v>
      </c>
      <c r="I104" s="4" t="n">
        <v>43.76</v>
      </c>
    </row>
    <row r="105" customFormat="false" ht="15" hidden="false" customHeight="false" outlineLevel="0" collapsed="false">
      <c r="A105" s="2" t="s">
        <v>317</v>
      </c>
      <c r="B105" s="2" t="s">
        <v>318</v>
      </c>
      <c r="C105" s="8" t="n">
        <v>45494</v>
      </c>
      <c r="D105" s="3" t="n">
        <v>22922</v>
      </c>
      <c r="E105" s="3" t="n">
        <v>1360</v>
      </c>
      <c r="F105" s="2" t="s">
        <v>63</v>
      </c>
      <c r="G105" s="3" t="n">
        <v>1203</v>
      </c>
      <c r="H105" s="3" t="n">
        <v>86</v>
      </c>
      <c r="I105" s="4" t="n">
        <v>39.68</v>
      </c>
    </row>
    <row r="106" customFormat="false" ht="15" hidden="false" customHeight="false" outlineLevel="0" collapsed="false">
      <c r="A106" s="2" t="s">
        <v>319</v>
      </c>
      <c r="B106" s="2" t="s">
        <v>320</v>
      </c>
      <c r="C106" s="8" t="n">
        <v>45390</v>
      </c>
      <c r="D106" s="3" t="n">
        <v>22729</v>
      </c>
      <c r="E106" s="3" t="n">
        <v>2431</v>
      </c>
      <c r="F106" s="2" t="s">
        <v>321</v>
      </c>
      <c r="G106" s="3" t="n">
        <v>1346</v>
      </c>
      <c r="H106" s="3" t="n">
        <v>55</v>
      </c>
      <c r="I106" s="4" t="n">
        <v>47.67</v>
      </c>
    </row>
    <row r="107" customFormat="false" ht="15" hidden="false" customHeight="false" outlineLevel="0" collapsed="false">
      <c r="A107" s="2" t="s">
        <v>322</v>
      </c>
      <c r="B107" s="2" t="s">
        <v>323</v>
      </c>
      <c r="C107" s="8" t="n">
        <v>45533</v>
      </c>
      <c r="D107" s="3" t="n">
        <v>22586</v>
      </c>
      <c r="E107" s="3" t="n">
        <v>1581</v>
      </c>
      <c r="F107" s="2" t="s">
        <v>324</v>
      </c>
      <c r="G107" s="3" t="n">
        <v>989</v>
      </c>
      <c r="H107" s="3" t="n">
        <v>91</v>
      </c>
      <c r="I107" s="4" t="n">
        <v>55.97</v>
      </c>
    </row>
    <row r="108" customFormat="false" ht="15" hidden="false" customHeight="false" outlineLevel="0" collapsed="false">
      <c r="A108" s="2" t="s">
        <v>325</v>
      </c>
      <c r="B108" s="2" t="s">
        <v>326</v>
      </c>
      <c r="C108" s="8" t="n">
        <v>45302</v>
      </c>
      <c r="D108" s="3" t="n">
        <v>22496</v>
      </c>
      <c r="E108" s="3" t="n">
        <v>1996</v>
      </c>
      <c r="F108" s="2" t="s">
        <v>327</v>
      </c>
      <c r="G108" s="3" t="n">
        <v>1108</v>
      </c>
      <c r="H108" s="3" t="n">
        <v>53</v>
      </c>
      <c r="I108" s="4" t="n">
        <v>64.03</v>
      </c>
    </row>
    <row r="109" customFormat="false" ht="15" hidden="false" customHeight="false" outlineLevel="0" collapsed="false">
      <c r="A109" s="2" t="s">
        <v>328</v>
      </c>
      <c r="B109" s="2" t="s">
        <v>329</v>
      </c>
      <c r="C109" s="8" t="n">
        <v>45601</v>
      </c>
      <c r="D109" s="3" t="n">
        <v>22389</v>
      </c>
      <c r="E109" s="3" t="n">
        <v>1823</v>
      </c>
      <c r="F109" s="2" t="s">
        <v>330</v>
      </c>
      <c r="G109" s="3" t="n">
        <v>1288</v>
      </c>
      <c r="H109" s="3" t="n">
        <v>59</v>
      </c>
      <c r="I109" s="4" t="n">
        <v>55.64</v>
      </c>
    </row>
    <row r="110" customFormat="false" ht="15" hidden="false" customHeight="false" outlineLevel="0" collapsed="false">
      <c r="A110" s="2" t="s">
        <v>331</v>
      </c>
      <c r="B110" s="2" t="s">
        <v>332</v>
      </c>
      <c r="C110" s="8" t="n">
        <v>45478</v>
      </c>
      <c r="D110" s="3" t="n">
        <v>22259</v>
      </c>
      <c r="E110" s="3" t="n">
        <v>2304</v>
      </c>
      <c r="F110" s="2" t="s">
        <v>333</v>
      </c>
      <c r="G110" s="3" t="n">
        <v>833</v>
      </c>
      <c r="H110" s="3" t="n">
        <v>56</v>
      </c>
      <c r="I110" s="4" t="n">
        <v>39.47</v>
      </c>
    </row>
    <row r="111" customFormat="false" ht="15" hidden="false" customHeight="false" outlineLevel="0" collapsed="false">
      <c r="A111" s="2" t="s">
        <v>334</v>
      </c>
      <c r="B111" s="2" t="s">
        <v>335</v>
      </c>
      <c r="C111" s="8" t="n">
        <v>45376</v>
      </c>
      <c r="D111" s="3" t="n">
        <v>22189</v>
      </c>
      <c r="E111" s="3" t="n">
        <v>1890</v>
      </c>
      <c r="F111" s="2" t="s">
        <v>336</v>
      </c>
      <c r="G111" s="3" t="n">
        <v>1255</v>
      </c>
      <c r="H111" s="3" t="n">
        <v>129</v>
      </c>
      <c r="I111" s="4" t="n">
        <v>47.36</v>
      </c>
    </row>
    <row r="112" customFormat="false" ht="15" hidden="false" customHeight="false" outlineLevel="0" collapsed="false">
      <c r="A112" s="2" t="s">
        <v>337</v>
      </c>
      <c r="B112" s="2" t="s">
        <v>338</v>
      </c>
      <c r="C112" s="8" t="n">
        <v>45639</v>
      </c>
      <c r="D112" s="3" t="n">
        <v>21960</v>
      </c>
      <c r="E112" s="3" t="n">
        <v>1886</v>
      </c>
      <c r="F112" s="2" t="s">
        <v>266</v>
      </c>
      <c r="G112" s="3" t="n">
        <v>723</v>
      </c>
      <c r="H112" s="3" t="n">
        <v>68</v>
      </c>
      <c r="I112" s="4" t="n">
        <v>50.43</v>
      </c>
    </row>
    <row r="113" customFormat="false" ht="15" hidden="false" customHeight="false" outlineLevel="0" collapsed="false">
      <c r="A113" s="2" t="s">
        <v>339</v>
      </c>
      <c r="B113" s="2" t="s">
        <v>340</v>
      </c>
      <c r="C113" s="8" t="n">
        <v>45519</v>
      </c>
      <c r="D113" s="3" t="n">
        <v>21906</v>
      </c>
      <c r="E113" s="3" t="n">
        <v>2520</v>
      </c>
      <c r="F113" s="2" t="s">
        <v>72</v>
      </c>
      <c r="G113" s="3" t="n">
        <v>1083</v>
      </c>
      <c r="H113" s="3" t="n">
        <v>74</v>
      </c>
      <c r="I113" s="4" t="n">
        <v>49.72</v>
      </c>
    </row>
    <row r="114" customFormat="false" ht="15" hidden="false" customHeight="false" outlineLevel="0" collapsed="false">
      <c r="A114" s="2" t="s">
        <v>341</v>
      </c>
      <c r="B114" s="2" t="s">
        <v>342</v>
      </c>
      <c r="C114" s="8" t="n">
        <v>45550</v>
      </c>
      <c r="D114" s="3" t="n">
        <v>21815</v>
      </c>
      <c r="E114" s="3" t="n">
        <v>1417</v>
      </c>
      <c r="F114" s="2" t="s">
        <v>343</v>
      </c>
      <c r="G114" s="3" t="n">
        <v>1166</v>
      </c>
      <c r="H114" s="3" t="n">
        <v>71</v>
      </c>
      <c r="I114" s="4" t="n">
        <v>52.27</v>
      </c>
    </row>
    <row r="115" customFormat="false" ht="15" hidden="false" customHeight="false" outlineLevel="0" collapsed="false">
      <c r="A115" s="2" t="s">
        <v>344</v>
      </c>
      <c r="B115" s="2" t="s">
        <v>345</v>
      </c>
      <c r="C115" s="8" t="n">
        <v>45608</v>
      </c>
      <c r="D115" s="3" t="n">
        <v>21799</v>
      </c>
      <c r="E115" s="3" t="n">
        <v>2302</v>
      </c>
      <c r="F115" s="2" t="s">
        <v>346</v>
      </c>
      <c r="G115" s="3" t="n">
        <v>1055</v>
      </c>
      <c r="H115" s="3" t="n">
        <v>121</v>
      </c>
      <c r="I115" s="4" t="n">
        <v>41.98</v>
      </c>
    </row>
    <row r="116" customFormat="false" ht="15" hidden="false" customHeight="false" outlineLevel="0" collapsed="false">
      <c r="A116" s="2" t="s">
        <v>347</v>
      </c>
      <c r="B116" s="2" t="s">
        <v>348</v>
      </c>
      <c r="C116" s="8" t="n">
        <v>45410</v>
      </c>
      <c r="D116" s="3" t="n">
        <v>21747</v>
      </c>
      <c r="E116" s="3" t="n">
        <v>1285</v>
      </c>
      <c r="F116" s="2" t="s">
        <v>349</v>
      </c>
      <c r="G116" s="3" t="n">
        <v>975</v>
      </c>
      <c r="H116" s="3" t="n">
        <v>92</v>
      </c>
      <c r="I116" s="4" t="n">
        <v>48.53</v>
      </c>
    </row>
    <row r="117" customFormat="false" ht="15" hidden="false" customHeight="false" outlineLevel="0" collapsed="false">
      <c r="A117" s="2" t="s">
        <v>350</v>
      </c>
      <c r="B117" s="2" t="s">
        <v>351</v>
      </c>
      <c r="C117" s="8" t="n">
        <v>45377</v>
      </c>
      <c r="D117" s="3" t="n">
        <v>21723</v>
      </c>
      <c r="E117" s="3" t="n">
        <v>1836</v>
      </c>
      <c r="F117" s="2" t="s">
        <v>352</v>
      </c>
      <c r="G117" s="3" t="n">
        <v>1054</v>
      </c>
      <c r="H117" s="3" t="n">
        <v>123</v>
      </c>
      <c r="I117" s="4" t="n">
        <v>51.13</v>
      </c>
    </row>
    <row r="118" customFormat="false" ht="15" hidden="false" customHeight="false" outlineLevel="0" collapsed="false">
      <c r="A118" s="2" t="s">
        <v>353</v>
      </c>
      <c r="B118" s="2" t="s">
        <v>354</v>
      </c>
      <c r="C118" s="8" t="n">
        <v>45491</v>
      </c>
      <c r="D118" s="3" t="n">
        <v>21653</v>
      </c>
      <c r="E118" s="3" t="n">
        <v>2358</v>
      </c>
      <c r="F118" s="2" t="s">
        <v>145</v>
      </c>
      <c r="G118" s="3" t="n">
        <v>748</v>
      </c>
      <c r="H118" s="3" t="n">
        <v>69</v>
      </c>
      <c r="I118" s="4" t="n">
        <v>54.16</v>
      </c>
    </row>
    <row r="119" customFormat="false" ht="15" hidden="false" customHeight="false" outlineLevel="0" collapsed="false">
      <c r="A119" s="2" t="s">
        <v>355</v>
      </c>
      <c r="B119" s="2" t="s">
        <v>356</v>
      </c>
      <c r="C119" s="8" t="n">
        <v>45342</v>
      </c>
      <c r="D119" s="3" t="n">
        <v>21622</v>
      </c>
      <c r="E119" s="3" t="n">
        <v>2070</v>
      </c>
      <c r="F119" s="2" t="s">
        <v>357</v>
      </c>
      <c r="G119" s="3" t="n">
        <v>788</v>
      </c>
      <c r="H119" s="3" t="n">
        <v>53</v>
      </c>
      <c r="I119" s="4" t="n">
        <v>42.34</v>
      </c>
    </row>
    <row r="120" customFormat="false" ht="15" hidden="false" customHeight="false" outlineLevel="0" collapsed="false">
      <c r="A120" s="2" t="s">
        <v>358</v>
      </c>
      <c r="B120" s="2" t="s">
        <v>359</v>
      </c>
      <c r="C120" s="8" t="n">
        <v>45361</v>
      </c>
      <c r="D120" s="3" t="n">
        <v>21536</v>
      </c>
      <c r="E120" s="3" t="n">
        <v>2087</v>
      </c>
      <c r="F120" s="2" t="s">
        <v>360</v>
      </c>
      <c r="G120" s="3" t="n">
        <v>820</v>
      </c>
      <c r="H120" s="3" t="n">
        <v>90</v>
      </c>
      <c r="I120" s="4" t="n">
        <v>45.19</v>
      </c>
    </row>
    <row r="121" customFormat="false" ht="15" hidden="false" customHeight="false" outlineLevel="0" collapsed="false">
      <c r="A121" s="2" t="s">
        <v>361</v>
      </c>
      <c r="B121" s="2" t="s">
        <v>362</v>
      </c>
      <c r="C121" s="8" t="n">
        <v>45507</v>
      </c>
      <c r="D121" s="3" t="n">
        <v>21483</v>
      </c>
      <c r="E121" s="3" t="n">
        <v>1541</v>
      </c>
      <c r="F121" s="2" t="s">
        <v>252</v>
      </c>
      <c r="G121" s="3" t="n">
        <v>1029</v>
      </c>
      <c r="H121" s="3" t="n">
        <v>72</v>
      </c>
      <c r="I121" s="4" t="n">
        <v>31.65</v>
      </c>
    </row>
    <row r="122" customFormat="false" ht="15" hidden="false" customHeight="false" outlineLevel="0" collapsed="false">
      <c r="A122" s="2" t="s">
        <v>363</v>
      </c>
      <c r="B122" s="2" t="s">
        <v>364</v>
      </c>
      <c r="C122" s="8" t="n">
        <v>45508</v>
      </c>
      <c r="D122" s="3" t="n">
        <v>21236</v>
      </c>
      <c r="E122" s="3" t="n">
        <v>1720</v>
      </c>
      <c r="F122" s="2" t="s">
        <v>128</v>
      </c>
      <c r="G122" s="3" t="n">
        <v>918</v>
      </c>
      <c r="H122" s="3" t="n">
        <v>110</v>
      </c>
      <c r="I122" s="4" t="n">
        <v>42.75</v>
      </c>
    </row>
    <row r="123" customFormat="false" ht="15" hidden="false" customHeight="false" outlineLevel="0" collapsed="false">
      <c r="A123" s="2" t="s">
        <v>365</v>
      </c>
      <c r="B123" s="2" t="s">
        <v>366</v>
      </c>
      <c r="C123" s="8" t="n">
        <v>45439</v>
      </c>
      <c r="D123" s="3" t="n">
        <v>21222</v>
      </c>
      <c r="E123" s="3" t="n">
        <v>1653</v>
      </c>
      <c r="F123" s="2" t="s">
        <v>367</v>
      </c>
      <c r="G123" s="3" t="n">
        <v>792</v>
      </c>
      <c r="H123" s="3" t="n">
        <v>117</v>
      </c>
      <c r="I123" s="4" t="n">
        <v>43.35</v>
      </c>
    </row>
    <row r="124" customFormat="false" ht="15" hidden="false" customHeight="false" outlineLevel="0" collapsed="false">
      <c r="A124" s="2" t="s">
        <v>368</v>
      </c>
      <c r="B124" s="2" t="s">
        <v>369</v>
      </c>
      <c r="C124" s="8" t="n">
        <v>45310</v>
      </c>
      <c r="D124" s="3" t="n">
        <v>21158</v>
      </c>
      <c r="E124" s="3" t="n">
        <v>1843</v>
      </c>
      <c r="F124" s="2" t="s">
        <v>54</v>
      </c>
      <c r="G124" s="3" t="n">
        <v>1195</v>
      </c>
      <c r="H124" s="3" t="n">
        <v>82</v>
      </c>
      <c r="I124" s="4" t="n">
        <v>40.13</v>
      </c>
    </row>
    <row r="125" customFormat="false" ht="15" hidden="false" customHeight="false" outlineLevel="0" collapsed="false">
      <c r="A125" s="2" t="s">
        <v>370</v>
      </c>
      <c r="B125" s="2" t="s">
        <v>371</v>
      </c>
      <c r="C125" s="8" t="n">
        <v>45561</v>
      </c>
      <c r="D125" s="3" t="n">
        <v>21043</v>
      </c>
      <c r="E125" s="3" t="n">
        <v>1759</v>
      </c>
      <c r="F125" s="2" t="s">
        <v>372</v>
      </c>
      <c r="G125" s="3" t="n">
        <v>867</v>
      </c>
      <c r="H125" s="3" t="n">
        <v>123</v>
      </c>
      <c r="I125" s="4" t="n">
        <v>47.67</v>
      </c>
    </row>
    <row r="126" customFormat="false" ht="15" hidden="false" customHeight="false" outlineLevel="0" collapsed="false">
      <c r="A126" s="2" t="s">
        <v>373</v>
      </c>
      <c r="B126" s="2" t="s">
        <v>374</v>
      </c>
      <c r="C126" s="8" t="n">
        <v>45335</v>
      </c>
      <c r="D126" s="3" t="n">
        <v>20893</v>
      </c>
      <c r="E126" s="3" t="n">
        <v>1578</v>
      </c>
      <c r="F126" s="2" t="s">
        <v>375</v>
      </c>
      <c r="G126" s="3" t="n">
        <v>906</v>
      </c>
      <c r="H126" s="3" t="n">
        <v>88</v>
      </c>
      <c r="I126" s="4" t="n">
        <v>45.79</v>
      </c>
    </row>
    <row r="127" customFormat="false" ht="15" hidden="false" customHeight="false" outlineLevel="0" collapsed="false">
      <c r="A127" s="2" t="s">
        <v>376</v>
      </c>
      <c r="B127" s="2" t="s">
        <v>377</v>
      </c>
      <c r="C127" s="8" t="n">
        <v>45401</v>
      </c>
      <c r="D127" s="3" t="n">
        <v>20875</v>
      </c>
      <c r="E127" s="3" t="n">
        <v>1550</v>
      </c>
      <c r="F127" s="2" t="s">
        <v>378</v>
      </c>
      <c r="G127" s="3" t="n">
        <v>882</v>
      </c>
      <c r="H127" s="3" t="n">
        <v>64</v>
      </c>
      <c r="I127" s="4" t="n">
        <v>32.87</v>
      </c>
    </row>
    <row r="128" customFormat="false" ht="15" hidden="false" customHeight="false" outlineLevel="0" collapsed="false">
      <c r="A128" s="2" t="s">
        <v>379</v>
      </c>
      <c r="B128" s="2" t="s">
        <v>380</v>
      </c>
      <c r="C128" s="8" t="n">
        <v>45357</v>
      </c>
      <c r="D128" s="3" t="n">
        <v>20814</v>
      </c>
      <c r="E128" s="3" t="n">
        <v>1477</v>
      </c>
      <c r="F128" s="2" t="s">
        <v>381</v>
      </c>
      <c r="G128" s="3" t="n">
        <v>738</v>
      </c>
      <c r="H128" s="3" t="n">
        <v>82</v>
      </c>
      <c r="I128" s="4" t="n">
        <v>47.51</v>
      </c>
    </row>
    <row r="129" customFormat="false" ht="15" hidden="false" customHeight="false" outlineLevel="0" collapsed="false">
      <c r="A129" s="2" t="s">
        <v>382</v>
      </c>
      <c r="B129" s="2" t="s">
        <v>383</v>
      </c>
      <c r="C129" s="8" t="n">
        <v>45647</v>
      </c>
      <c r="D129" s="3" t="n">
        <v>20796</v>
      </c>
      <c r="E129" s="3" t="n">
        <v>1618</v>
      </c>
      <c r="F129" s="2" t="s">
        <v>367</v>
      </c>
      <c r="G129" s="3" t="n">
        <v>1080</v>
      </c>
      <c r="H129" s="3" t="n">
        <v>44</v>
      </c>
      <c r="I129" s="4" t="n">
        <v>39.98</v>
      </c>
    </row>
    <row r="130" customFormat="false" ht="15" hidden="false" customHeight="false" outlineLevel="0" collapsed="false">
      <c r="A130" s="2" t="s">
        <v>384</v>
      </c>
      <c r="B130" s="2" t="s">
        <v>385</v>
      </c>
      <c r="C130" s="8" t="n">
        <v>45422</v>
      </c>
      <c r="D130" s="3" t="n">
        <v>20695</v>
      </c>
      <c r="E130" s="3" t="n">
        <v>1344</v>
      </c>
      <c r="F130" s="2" t="s">
        <v>343</v>
      </c>
      <c r="G130" s="3" t="n">
        <v>899</v>
      </c>
      <c r="H130" s="3" t="n">
        <v>107</v>
      </c>
      <c r="I130" s="4" t="n">
        <v>49.19</v>
      </c>
    </row>
    <row r="131" customFormat="false" ht="15" hidden="false" customHeight="false" outlineLevel="0" collapsed="false">
      <c r="A131" s="2" t="s">
        <v>386</v>
      </c>
      <c r="B131" s="2" t="s">
        <v>387</v>
      </c>
      <c r="C131" s="8" t="n">
        <v>45603</v>
      </c>
      <c r="D131" s="3" t="n">
        <v>20538</v>
      </c>
      <c r="E131" s="3" t="n">
        <v>2220</v>
      </c>
      <c r="F131" s="2" t="s">
        <v>388</v>
      </c>
      <c r="G131" s="3" t="n">
        <v>626</v>
      </c>
      <c r="H131" s="3" t="n">
        <v>49</v>
      </c>
      <c r="I131" s="4" t="n">
        <v>37.45</v>
      </c>
    </row>
    <row r="132" customFormat="false" ht="15" hidden="false" customHeight="false" outlineLevel="0" collapsed="false">
      <c r="A132" s="2" t="s">
        <v>389</v>
      </c>
      <c r="B132" s="2" t="s">
        <v>390</v>
      </c>
      <c r="C132" s="8" t="n">
        <v>45432</v>
      </c>
      <c r="D132" s="3" t="n">
        <v>20460</v>
      </c>
      <c r="E132" s="3" t="n">
        <v>1881</v>
      </c>
      <c r="F132" s="2" t="s">
        <v>391</v>
      </c>
      <c r="G132" s="3" t="n">
        <v>1205</v>
      </c>
      <c r="H132" s="3" t="n">
        <v>66</v>
      </c>
      <c r="I132" s="4" t="n">
        <v>45.42</v>
      </c>
    </row>
    <row r="133" customFormat="false" ht="15" hidden="false" customHeight="false" outlineLevel="0" collapsed="false">
      <c r="A133" s="2" t="s">
        <v>392</v>
      </c>
      <c r="B133" s="2" t="s">
        <v>393</v>
      </c>
      <c r="C133" s="8" t="n">
        <v>45368</v>
      </c>
      <c r="D133" s="3" t="n">
        <v>20099</v>
      </c>
      <c r="E133" s="3" t="n">
        <v>1286</v>
      </c>
      <c r="F133" s="2" t="s">
        <v>394</v>
      </c>
      <c r="G133" s="3" t="n">
        <v>1094</v>
      </c>
      <c r="H133" s="3" t="n">
        <v>85</v>
      </c>
      <c r="I133" s="4" t="n">
        <v>42.57</v>
      </c>
    </row>
    <row r="134" customFormat="false" ht="15" hidden="false" customHeight="false" outlineLevel="0" collapsed="false">
      <c r="A134" s="2" t="s">
        <v>395</v>
      </c>
      <c r="B134" s="2" t="s">
        <v>396</v>
      </c>
      <c r="C134" s="8" t="n">
        <v>45402</v>
      </c>
      <c r="D134" s="3" t="n">
        <v>19947</v>
      </c>
      <c r="E134" s="3" t="n">
        <v>1943</v>
      </c>
      <c r="F134" s="2" t="s">
        <v>397</v>
      </c>
      <c r="G134" s="3" t="n">
        <v>1031</v>
      </c>
      <c r="H134" s="3" t="n">
        <v>43</v>
      </c>
      <c r="I134" s="4" t="n">
        <v>46.13</v>
      </c>
    </row>
    <row r="135" customFormat="false" ht="15" hidden="false" customHeight="false" outlineLevel="0" collapsed="false">
      <c r="A135" s="2" t="s">
        <v>398</v>
      </c>
      <c r="B135" s="2" t="s">
        <v>399</v>
      </c>
      <c r="C135" s="8" t="n">
        <v>45525</v>
      </c>
      <c r="D135" s="3" t="n">
        <v>19946</v>
      </c>
      <c r="E135" s="3" t="n">
        <v>2126</v>
      </c>
      <c r="F135" s="2" t="s">
        <v>400</v>
      </c>
      <c r="G135" s="3" t="n">
        <v>1118</v>
      </c>
      <c r="H135" s="3" t="n">
        <v>46</v>
      </c>
      <c r="I135" s="4" t="n">
        <v>44.91</v>
      </c>
    </row>
    <row r="136" customFormat="false" ht="15" hidden="false" customHeight="false" outlineLevel="0" collapsed="false">
      <c r="A136" s="2" t="s">
        <v>401</v>
      </c>
      <c r="B136" s="2" t="s">
        <v>402</v>
      </c>
      <c r="C136" s="8" t="n">
        <v>45629</v>
      </c>
      <c r="D136" s="3" t="n">
        <v>19630</v>
      </c>
      <c r="E136" s="3" t="n">
        <v>1377</v>
      </c>
      <c r="F136" s="2" t="s">
        <v>403</v>
      </c>
      <c r="G136" s="3" t="n">
        <v>1122</v>
      </c>
      <c r="H136" s="3" t="n">
        <v>93</v>
      </c>
      <c r="I136" s="4" t="n">
        <v>41.75</v>
      </c>
    </row>
    <row r="137" customFormat="false" ht="15" hidden="false" customHeight="false" outlineLevel="0" collapsed="false">
      <c r="A137" s="2" t="s">
        <v>404</v>
      </c>
      <c r="B137" s="2" t="s">
        <v>405</v>
      </c>
      <c r="C137" s="8" t="n">
        <v>45398</v>
      </c>
      <c r="D137" s="3" t="n">
        <v>19624</v>
      </c>
      <c r="E137" s="3" t="n">
        <v>1275</v>
      </c>
      <c r="F137" s="2" t="s">
        <v>343</v>
      </c>
      <c r="G137" s="3" t="n">
        <v>787</v>
      </c>
      <c r="H137" s="3" t="n">
        <v>44</v>
      </c>
      <c r="I137" s="4" t="n">
        <v>34.44</v>
      </c>
    </row>
    <row r="138" customFormat="false" ht="15" hidden="false" customHeight="false" outlineLevel="0" collapsed="false">
      <c r="A138" s="2" t="s">
        <v>406</v>
      </c>
      <c r="B138" s="2" t="s">
        <v>407</v>
      </c>
      <c r="C138" s="8" t="n">
        <v>45605</v>
      </c>
      <c r="D138" s="3" t="n">
        <v>19493</v>
      </c>
      <c r="E138" s="3" t="n">
        <v>1101</v>
      </c>
      <c r="F138" s="2" t="s">
        <v>180</v>
      </c>
      <c r="G138" s="3" t="n">
        <v>942</v>
      </c>
      <c r="H138" s="3" t="n">
        <v>76</v>
      </c>
      <c r="I138" s="4" t="n">
        <v>34.52</v>
      </c>
    </row>
    <row r="139" customFormat="false" ht="15" hidden="false" customHeight="false" outlineLevel="0" collapsed="false">
      <c r="A139" s="2" t="s">
        <v>408</v>
      </c>
      <c r="B139" s="2" t="s">
        <v>409</v>
      </c>
      <c r="C139" s="8" t="n">
        <v>45447</v>
      </c>
      <c r="D139" s="3" t="n">
        <v>19455</v>
      </c>
      <c r="E139" s="3" t="n">
        <v>1144</v>
      </c>
      <c r="F139" s="2" t="s">
        <v>410</v>
      </c>
      <c r="G139" s="3" t="n">
        <v>938</v>
      </c>
      <c r="H139" s="3" t="n">
        <v>65</v>
      </c>
      <c r="I139" s="4" t="n">
        <v>39.39</v>
      </c>
    </row>
    <row r="140" customFormat="false" ht="15" hidden="false" customHeight="false" outlineLevel="0" collapsed="false">
      <c r="A140" s="2" t="s">
        <v>411</v>
      </c>
      <c r="B140" s="2" t="s">
        <v>412</v>
      </c>
      <c r="C140" s="8" t="n">
        <v>45596</v>
      </c>
      <c r="D140" s="3" t="n">
        <v>19415</v>
      </c>
      <c r="E140" s="3" t="n">
        <v>1971</v>
      </c>
      <c r="F140" s="2" t="s">
        <v>413</v>
      </c>
      <c r="G140" s="3" t="n">
        <v>738</v>
      </c>
      <c r="H140" s="3" t="n">
        <v>56</v>
      </c>
      <c r="I140" s="4" t="n">
        <v>42.85</v>
      </c>
    </row>
    <row r="141" customFormat="false" ht="15" hidden="false" customHeight="false" outlineLevel="0" collapsed="false">
      <c r="A141" s="2" t="s">
        <v>414</v>
      </c>
      <c r="B141" s="2" t="s">
        <v>415</v>
      </c>
      <c r="C141" s="8" t="n">
        <v>45606</v>
      </c>
      <c r="D141" s="3" t="n">
        <v>19404</v>
      </c>
      <c r="E141" s="3" t="n">
        <v>2230</v>
      </c>
      <c r="F141" s="2" t="s">
        <v>72</v>
      </c>
      <c r="G141" s="3" t="n">
        <v>711</v>
      </c>
      <c r="H141" s="3" t="n">
        <v>53</v>
      </c>
      <c r="I141" s="4" t="n">
        <v>39.14</v>
      </c>
    </row>
    <row r="142" customFormat="false" ht="15" hidden="false" customHeight="false" outlineLevel="0" collapsed="false">
      <c r="A142" s="2" t="s">
        <v>416</v>
      </c>
      <c r="B142" s="2" t="s">
        <v>417</v>
      </c>
      <c r="C142" s="8" t="n">
        <v>45588</v>
      </c>
      <c r="D142" s="3" t="n">
        <v>19366</v>
      </c>
      <c r="E142" s="3" t="n">
        <v>1136</v>
      </c>
      <c r="F142" s="2" t="s">
        <v>177</v>
      </c>
      <c r="G142" s="3" t="n">
        <v>647</v>
      </c>
      <c r="H142" s="3" t="n">
        <v>97</v>
      </c>
      <c r="I142" s="3" t="n">
        <v>47</v>
      </c>
    </row>
    <row r="143" customFormat="false" ht="15" hidden="false" customHeight="false" outlineLevel="0" collapsed="false">
      <c r="A143" s="2" t="s">
        <v>418</v>
      </c>
      <c r="B143" s="2" t="s">
        <v>419</v>
      </c>
      <c r="C143" s="8" t="n">
        <v>45388</v>
      </c>
      <c r="D143" s="3" t="n">
        <v>19318</v>
      </c>
      <c r="E143" s="3" t="n">
        <v>1945</v>
      </c>
      <c r="F143" s="2" t="s">
        <v>420</v>
      </c>
      <c r="G143" s="3" t="n">
        <v>961</v>
      </c>
      <c r="H143" s="3" t="n">
        <v>112</v>
      </c>
      <c r="I143" s="4" t="n">
        <v>40.94</v>
      </c>
    </row>
    <row r="144" customFormat="false" ht="15" hidden="false" customHeight="false" outlineLevel="0" collapsed="false">
      <c r="A144" s="2" t="s">
        <v>421</v>
      </c>
      <c r="B144" s="2" t="s">
        <v>422</v>
      </c>
      <c r="C144" s="8" t="n">
        <v>45327</v>
      </c>
      <c r="D144" s="3" t="n">
        <v>19251</v>
      </c>
      <c r="E144" s="3" t="n">
        <v>1160</v>
      </c>
      <c r="F144" s="2" t="s">
        <v>423</v>
      </c>
      <c r="G144" s="3" t="n">
        <v>1028</v>
      </c>
      <c r="H144" s="3" t="n">
        <v>49</v>
      </c>
      <c r="I144" s="4" t="n">
        <v>36.81</v>
      </c>
    </row>
    <row r="145" customFormat="false" ht="15" hidden="false" customHeight="false" outlineLevel="0" collapsed="false">
      <c r="A145" s="2" t="s">
        <v>424</v>
      </c>
      <c r="B145" s="2" t="s">
        <v>425</v>
      </c>
      <c r="C145" s="8" t="n">
        <v>45449</v>
      </c>
      <c r="D145" s="3" t="n">
        <v>19206</v>
      </c>
      <c r="E145" s="3" t="n">
        <v>1754</v>
      </c>
      <c r="F145" s="2" t="s">
        <v>426</v>
      </c>
      <c r="G145" s="3" t="n">
        <v>1014</v>
      </c>
      <c r="H145" s="3" t="n">
        <v>112</v>
      </c>
      <c r="I145" s="4" t="n">
        <v>40.71</v>
      </c>
    </row>
    <row r="146" customFormat="false" ht="15" hidden="false" customHeight="false" outlineLevel="0" collapsed="false">
      <c r="A146" s="2" t="s">
        <v>427</v>
      </c>
      <c r="B146" s="2" t="s">
        <v>428</v>
      </c>
      <c r="C146" s="8" t="n">
        <v>45301</v>
      </c>
      <c r="D146" s="3" t="n">
        <v>19204</v>
      </c>
      <c r="E146" s="3" t="n">
        <v>1942</v>
      </c>
      <c r="F146" s="2" t="s">
        <v>105</v>
      </c>
      <c r="G146" s="3" t="n">
        <v>758</v>
      </c>
      <c r="H146" s="3" t="n">
        <v>84</v>
      </c>
      <c r="I146" s="4" t="n">
        <v>43.9</v>
      </c>
    </row>
    <row r="147" customFormat="false" ht="15" hidden="false" customHeight="false" outlineLevel="0" collapsed="false">
      <c r="A147" s="2" t="s">
        <v>429</v>
      </c>
      <c r="B147" s="2" t="s">
        <v>430</v>
      </c>
      <c r="C147" s="8" t="n">
        <v>45612</v>
      </c>
      <c r="D147" s="3" t="n">
        <v>19200</v>
      </c>
      <c r="E147" s="3" t="n">
        <v>1487</v>
      </c>
      <c r="F147" s="2" t="s">
        <v>431</v>
      </c>
      <c r="G147" s="3" t="n">
        <v>694</v>
      </c>
      <c r="H147" s="3" t="n">
        <v>87</v>
      </c>
      <c r="I147" s="4" t="n">
        <v>44.55</v>
      </c>
    </row>
    <row r="148" customFormat="false" ht="15" hidden="false" customHeight="false" outlineLevel="0" collapsed="false">
      <c r="A148" s="2" t="s">
        <v>432</v>
      </c>
      <c r="B148" s="2" t="s">
        <v>433</v>
      </c>
      <c r="C148" s="8" t="n">
        <v>45521</v>
      </c>
      <c r="D148" s="3" t="n">
        <v>19125</v>
      </c>
      <c r="E148" s="3" t="n">
        <v>1083</v>
      </c>
      <c r="F148" s="2" t="s">
        <v>434</v>
      </c>
      <c r="G148" s="3" t="n">
        <v>834</v>
      </c>
      <c r="H148" s="3" t="n">
        <v>92</v>
      </c>
      <c r="I148" s="4" t="n">
        <v>56.02</v>
      </c>
    </row>
    <row r="149" customFormat="false" ht="15" hidden="false" customHeight="false" outlineLevel="0" collapsed="false">
      <c r="A149" s="2" t="s">
        <v>435</v>
      </c>
      <c r="B149" s="2" t="s">
        <v>436</v>
      </c>
      <c r="C149" s="8" t="n">
        <v>45406</v>
      </c>
      <c r="D149" s="3" t="n">
        <v>19056</v>
      </c>
      <c r="E149" s="3" t="n">
        <v>1744</v>
      </c>
      <c r="F149" s="2" t="s">
        <v>426</v>
      </c>
      <c r="G149" s="3" t="n">
        <v>884</v>
      </c>
      <c r="H149" s="3" t="n">
        <v>91</v>
      </c>
      <c r="I149" s="4" t="n">
        <v>38.09</v>
      </c>
    </row>
    <row r="150" customFormat="false" ht="15" hidden="false" customHeight="false" outlineLevel="0" collapsed="false">
      <c r="A150" s="2" t="s">
        <v>437</v>
      </c>
      <c r="B150" s="2" t="s">
        <v>438</v>
      </c>
      <c r="C150" s="8" t="n">
        <v>45498</v>
      </c>
      <c r="D150" s="3" t="n">
        <v>18798</v>
      </c>
      <c r="E150" s="3" t="n">
        <v>2165</v>
      </c>
      <c r="F150" s="2" t="s">
        <v>212</v>
      </c>
      <c r="G150" s="3" t="n">
        <v>1082</v>
      </c>
      <c r="H150" s="3" t="n">
        <v>99</v>
      </c>
      <c r="I150" s="4" t="n">
        <v>41.09</v>
      </c>
    </row>
    <row r="151" customFormat="false" ht="15" hidden="false" customHeight="false" outlineLevel="0" collapsed="false">
      <c r="A151" s="2" t="s">
        <v>439</v>
      </c>
      <c r="B151" s="2" t="s">
        <v>440</v>
      </c>
      <c r="C151" s="8" t="n">
        <v>45469</v>
      </c>
      <c r="D151" s="3" t="n">
        <v>18753</v>
      </c>
      <c r="E151" s="3" t="n">
        <v>1338</v>
      </c>
      <c r="F151" s="2" t="s">
        <v>441</v>
      </c>
      <c r="G151" s="3" t="n">
        <v>1054</v>
      </c>
      <c r="H151" s="3" t="n">
        <v>73</v>
      </c>
      <c r="I151" s="4" t="n">
        <v>44.18</v>
      </c>
    </row>
    <row r="152" customFormat="false" ht="15" hidden="false" customHeight="false" outlineLevel="0" collapsed="false">
      <c r="A152" s="2" t="s">
        <v>442</v>
      </c>
      <c r="B152" s="2" t="s">
        <v>443</v>
      </c>
      <c r="C152" s="8" t="n">
        <v>45354</v>
      </c>
      <c r="D152" s="3" t="n">
        <v>18520</v>
      </c>
      <c r="E152" s="3" t="n">
        <v>1246</v>
      </c>
      <c r="F152" s="2" t="s">
        <v>131</v>
      </c>
      <c r="G152" s="3" t="n">
        <v>1064</v>
      </c>
      <c r="H152" s="3" t="n">
        <v>76</v>
      </c>
      <c r="I152" s="4" t="n">
        <v>40.78</v>
      </c>
    </row>
    <row r="153" customFormat="false" ht="15" hidden="false" customHeight="false" outlineLevel="0" collapsed="false">
      <c r="A153" s="2" t="s">
        <v>444</v>
      </c>
      <c r="B153" s="2" t="s">
        <v>445</v>
      </c>
      <c r="C153" s="8" t="n">
        <v>45414</v>
      </c>
      <c r="D153" s="3" t="n">
        <v>18489</v>
      </c>
      <c r="E153" s="3" t="n">
        <v>1172</v>
      </c>
      <c r="F153" s="2" t="s">
        <v>446</v>
      </c>
      <c r="G153" s="3" t="n">
        <v>1026</v>
      </c>
      <c r="H153" s="3" t="n">
        <v>60</v>
      </c>
      <c r="I153" s="4" t="n">
        <v>37.9</v>
      </c>
    </row>
    <row r="154" customFormat="false" ht="15" hidden="false" customHeight="false" outlineLevel="0" collapsed="false">
      <c r="A154" s="2" t="s">
        <v>447</v>
      </c>
      <c r="B154" s="2" t="s">
        <v>448</v>
      </c>
      <c r="C154" s="8" t="n">
        <v>45454</v>
      </c>
      <c r="D154" s="3" t="n">
        <v>18354</v>
      </c>
      <c r="E154" s="3" t="n">
        <v>1636</v>
      </c>
      <c r="F154" s="2" t="s">
        <v>116</v>
      </c>
      <c r="G154" s="3" t="n">
        <v>1081</v>
      </c>
      <c r="H154" s="3" t="n">
        <v>44</v>
      </c>
      <c r="I154" s="4" t="n">
        <v>32.15</v>
      </c>
    </row>
    <row r="155" customFormat="false" ht="15" hidden="false" customHeight="false" outlineLevel="0" collapsed="false">
      <c r="A155" s="2" t="s">
        <v>449</v>
      </c>
      <c r="B155" s="2" t="s">
        <v>450</v>
      </c>
      <c r="C155" s="8" t="n">
        <v>45624</v>
      </c>
      <c r="D155" s="3" t="n">
        <v>18350</v>
      </c>
      <c r="E155" s="3" t="n">
        <v>1681</v>
      </c>
      <c r="F155" s="2" t="s">
        <v>206</v>
      </c>
      <c r="G155" s="3" t="n">
        <v>806</v>
      </c>
      <c r="H155" s="3" t="n">
        <v>85</v>
      </c>
      <c r="I155" s="4" t="n">
        <v>37.56</v>
      </c>
    </row>
    <row r="156" customFormat="false" ht="15" hidden="false" customHeight="false" outlineLevel="0" collapsed="false">
      <c r="A156" s="2" t="s">
        <v>451</v>
      </c>
      <c r="B156" s="2" t="s">
        <v>452</v>
      </c>
      <c r="C156" s="8" t="n">
        <v>45347</v>
      </c>
      <c r="D156" s="3" t="n">
        <v>18242</v>
      </c>
      <c r="E156" s="3" t="n">
        <v>1884</v>
      </c>
      <c r="F156" s="2" t="s">
        <v>60</v>
      </c>
      <c r="G156" s="3" t="n">
        <v>573</v>
      </c>
      <c r="H156" s="3" t="n">
        <v>38</v>
      </c>
      <c r="I156" s="4" t="n">
        <v>34.32</v>
      </c>
    </row>
    <row r="157" customFormat="false" ht="15" hidden="false" customHeight="false" outlineLevel="0" collapsed="false">
      <c r="A157" s="2" t="s">
        <v>453</v>
      </c>
      <c r="B157" s="2" t="s">
        <v>454</v>
      </c>
      <c r="C157" s="8" t="n">
        <v>45626</v>
      </c>
      <c r="D157" s="3" t="n">
        <v>18177</v>
      </c>
      <c r="E157" s="3" t="n">
        <v>1835</v>
      </c>
      <c r="F157" s="2" t="s">
        <v>87</v>
      </c>
      <c r="G157" s="3" t="n">
        <v>590</v>
      </c>
      <c r="H157" s="3" t="n">
        <v>56</v>
      </c>
      <c r="I157" s="3" t="n">
        <v>31</v>
      </c>
    </row>
    <row r="158" customFormat="false" ht="15" hidden="false" customHeight="false" outlineLevel="0" collapsed="false">
      <c r="A158" s="2" t="s">
        <v>455</v>
      </c>
      <c r="B158" s="2" t="s">
        <v>456</v>
      </c>
      <c r="C158" s="8" t="n">
        <v>45567</v>
      </c>
      <c r="D158" s="3" t="n">
        <v>18121</v>
      </c>
      <c r="E158" s="3" t="n">
        <v>1980</v>
      </c>
      <c r="F158" s="2" t="s">
        <v>457</v>
      </c>
      <c r="G158" s="3" t="n">
        <v>755</v>
      </c>
      <c r="H158" s="3" t="n">
        <v>43</v>
      </c>
      <c r="I158" s="4" t="n">
        <v>35.54</v>
      </c>
    </row>
    <row r="159" customFormat="false" ht="15" hidden="false" customHeight="false" outlineLevel="0" collapsed="false">
      <c r="A159" s="2" t="s">
        <v>458</v>
      </c>
      <c r="B159" s="2" t="s">
        <v>459</v>
      </c>
      <c r="C159" s="8" t="n">
        <v>45553</v>
      </c>
      <c r="D159" s="3" t="n">
        <v>18096</v>
      </c>
      <c r="E159" s="3" t="n">
        <v>1884</v>
      </c>
      <c r="F159" s="2" t="s">
        <v>43</v>
      </c>
      <c r="G159" s="3" t="n">
        <v>682</v>
      </c>
      <c r="H159" s="3" t="n">
        <v>49</v>
      </c>
      <c r="I159" s="4" t="n">
        <v>34.18</v>
      </c>
    </row>
    <row r="160" customFormat="false" ht="15" hidden="false" customHeight="false" outlineLevel="0" collapsed="false">
      <c r="A160" s="2" t="s">
        <v>460</v>
      </c>
      <c r="B160" s="2" t="s">
        <v>461</v>
      </c>
      <c r="C160" s="8" t="n">
        <v>45653</v>
      </c>
      <c r="D160" s="3" t="n">
        <v>18090</v>
      </c>
      <c r="E160" s="3" t="n">
        <v>1280</v>
      </c>
      <c r="F160" s="2" t="s">
        <v>381</v>
      </c>
      <c r="G160" s="3" t="n">
        <v>634</v>
      </c>
      <c r="H160" s="3" t="n">
        <v>82</v>
      </c>
      <c r="I160" s="4" t="n">
        <v>43.64</v>
      </c>
    </row>
    <row r="161" customFormat="false" ht="15" hidden="false" customHeight="false" outlineLevel="0" collapsed="false">
      <c r="A161" s="2" t="s">
        <v>462</v>
      </c>
      <c r="B161" s="2" t="s">
        <v>463</v>
      </c>
      <c r="C161" s="8" t="n">
        <v>45307</v>
      </c>
      <c r="D161" s="3" t="n">
        <v>18029</v>
      </c>
      <c r="E161" s="3" t="n">
        <v>1608</v>
      </c>
      <c r="F161" s="2" t="s">
        <v>116</v>
      </c>
      <c r="G161" s="3" t="n">
        <v>1056</v>
      </c>
      <c r="H161" s="3" t="n">
        <v>81</v>
      </c>
      <c r="I161" s="4" t="n">
        <v>43.6</v>
      </c>
    </row>
    <row r="162" customFormat="false" ht="15" hidden="false" customHeight="false" outlineLevel="0" collapsed="false">
      <c r="A162" s="2" t="s">
        <v>464</v>
      </c>
      <c r="B162" s="2" t="s">
        <v>465</v>
      </c>
      <c r="C162" s="8" t="n">
        <v>45332</v>
      </c>
      <c r="D162" s="3" t="n">
        <v>18016</v>
      </c>
      <c r="E162" s="3" t="n">
        <v>1329</v>
      </c>
      <c r="F162" s="2" t="s">
        <v>168</v>
      </c>
      <c r="G162" s="3" t="n">
        <v>646</v>
      </c>
      <c r="H162" s="3" t="n">
        <v>66</v>
      </c>
      <c r="I162" s="4" t="n">
        <v>34.77</v>
      </c>
    </row>
    <row r="163" customFormat="false" ht="15" hidden="false" customHeight="false" outlineLevel="0" collapsed="false">
      <c r="A163" s="2" t="s">
        <v>466</v>
      </c>
      <c r="B163" s="2" t="s">
        <v>467</v>
      </c>
      <c r="C163" s="8" t="n">
        <v>45313</v>
      </c>
      <c r="D163" s="3" t="n">
        <v>17995</v>
      </c>
      <c r="E163" s="3" t="n">
        <v>1362</v>
      </c>
      <c r="F163" s="2" t="s">
        <v>375</v>
      </c>
      <c r="G163" s="3" t="n">
        <v>1057</v>
      </c>
      <c r="H163" s="3" t="n">
        <v>42</v>
      </c>
      <c r="I163" s="4" t="n">
        <v>38.24</v>
      </c>
    </row>
    <row r="164" customFormat="false" ht="15" hidden="false" customHeight="false" outlineLevel="0" collapsed="false">
      <c r="A164" s="2" t="s">
        <v>468</v>
      </c>
      <c r="B164" s="2" t="s">
        <v>469</v>
      </c>
      <c r="C164" s="8" t="n">
        <v>45415</v>
      </c>
      <c r="D164" s="3" t="n">
        <v>17941</v>
      </c>
      <c r="E164" s="3" t="n">
        <v>2003</v>
      </c>
      <c r="F164" s="2" t="s">
        <v>470</v>
      </c>
      <c r="G164" s="3" t="n">
        <v>947</v>
      </c>
      <c r="H164" s="3" t="n">
        <v>66</v>
      </c>
      <c r="I164" s="3" t="n">
        <v>30</v>
      </c>
    </row>
    <row r="165" customFormat="false" ht="15" hidden="false" customHeight="false" outlineLevel="0" collapsed="false">
      <c r="A165" s="2" t="s">
        <v>471</v>
      </c>
      <c r="B165" s="2" t="s">
        <v>472</v>
      </c>
      <c r="C165" s="8" t="n">
        <v>45472</v>
      </c>
      <c r="D165" s="3" t="n">
        <v>17937</v>
      </c>
      <c r="E165" s="3" t="n">
        <v>1735</v>
      </c>
      <c r="F165" s="2" t="s">
        <v>473</v>
      </c>
      <c r="G165" s="3" t="n">
        <v>883</v>
      </c>
      <c r="H165" s="3" t="n">
        <v>61</v>
      </c>
      <c r="I165" s="4" t="n">
        <v>36.81</v>
      </c>
    </row>
    <row r="166" customFormat="false" ht="15" hidden="false" customHeight="false" outlineLevel="0" collapsed="false">
      <c r="A166" s="2" t="s">
        <v>474</v>
      </c>
      <c r="B166" s="2" t="s">
        <v>475</v>
      </c>
      <c r="C166" s="8" t="n">
        <v>45587</v>
      </c>
      <c r="D166" s="3" t="n">
        <v>17917</v>
      </c>
      <c r="E166" s="3" t="n">
        <v>2046</v>
      </c>
      <c r="F166" s="2" t="s">
        <v>157</v>
      </c>
      <c r="G166" s="3" t="n">
        <v>900</v>
      </c>
      <c r="H166" s="3" t="n">
        <v>87</v>
      </c>
      <c r="I166" s="4" t="n">
        <v>42.04</v>
      </c>
    </row>
    <row r="167" customFormat="false" ht="15" hidden="false" customHeight="false" outlineLevel="0" collapsed="false">
      <c r="A167" s="2" t="s">
        <v>476</v>
      </c>
      <c r="B167" s="2" t="s">
        <v>477</v>
      </c>
      <c r="C167" s="8" t="n">
        <v>45420</v>
      </c>
      <c r="D167" s="3" t="n">
        <v>17780</v>
      </c>
      <c r="E167" s="3" t="n">
        <v>1438</v>
      </c>
      <c r="F167" s="2" t="s">
        <v>478</v>
      </c>
      <c r="G167" s="3" t="n">
        <v>710</v>
      </c>
      <c r="H167" s="3" t="n">
        <v>76</v>
      </c>
      <c r="I167" s="4" t="n">
        <v>44.47</v>
      </c>
    </row>
    <row r="168" customFormat="false" ht="15" hidden="false" customHeight="false" outlineLevel="0" collapsed="false">
      <c r="A168" s="2" t="s">
        <v>479</v>
      </c>
      <c r="B168" s="2" t="s">
        <v>480</v>
      </c>
      <c r="C168" s="8" t="n">
        <v>45488</v>
      </c>
      <c r="D168" s="3" t="n">
        <v>17760</v>
      </c>
      <c r="E168" s="3" t="n">
        <v>1564</v>
      </c>
      <c r="F168" s="2" t="s">
        <v>481</v>
      </c>
      <c r="G168" s="3" t="n">
        <v>877</v>
      </c>
      <c r="H168" s="3" t="n">
        <v>70</v>
      </c>
      <c r="I168" s="4" t="n">
        <v>35.27</v>
      </c>
    </row>
    <row r="169" customFormat="false" ht="15" hidden="false" customHeight="false" outlineLevel="0" collapsed="false">
      <c r="A169" s="2" t="s">
        <v>482</v>
      </c>
      <c r="B169" s="2" t="s">
        <v>483</v>
      </c>
      <c r="C169" s="8" t="n">
        <v>45485</v>
      </c>
      <c r="D169" s="3" t="n">
        <v>17724</v>
      </c>
      <c r="E169" s="3" t="n">
        <v>1508</v>
      </c>
      <c r="F169" s="2" t="s">
        <v>193</v>
      </c>
      <c r="G169" s="3" t="n">
        <v>630</v>
      </c>
      <c r="H169" s="3" t="n">
        <v>69</v>
      </c>
      <c r="I169" s="4" t="n">
        <v>45.86</v>
      </c>
    </row>
    <row r="170" customFormat="false" ht="15" hidden="false" customHeight="false" outlineLevel="0" collapsed="false">
      <c r="A170" s="2" t="s">
        <v>484</v>
      </c>
      <c r="B170" s="2" t="s">
        <v>485</v>
      </c>
      <c r="C170" s="8" t="n">
        <v>45611</v>
      </c>
      <c r="D170" s="3" t="n">
        <v>17713</v>
      </c>
      <c r="E170" s="3" t="n">
        <v>1105</v>
      </c>
      <c r="F170" s="2" t="s">
        <v>486</v>
      </c>
      <c r="G170" s="3" t="n">
        <v>1029</v>
      </c>
      <c r="H170" s="3" t="n">
        <v>103</v>
      </c>
      <c r="I170" s="4" t="n">
        <v>31.18</v>
      </c>
    </row>
    <row r="171" customFormat="false" ht="15" hidden="false" customHeight="false" outlineLevel="0" collapsed="false">
      <c r="A171" s="2" t="s">
        <v>487</v>
      </c>
      <c r="B171" s="2" t="s">
        <v>488</v>
      </c>
      <c r="C171" s="8" t="n">
        <v>45480</v>
      </c>
      <c r="D171" s="3" t="n">
        <v>17603</v>
      </c>
      <c r="E171" s="3" t="n">
        <v>1234</v>
      </c>
      <c r="F171" s="2" t="s">
        <v>324</v>
      </c>
      <c r="G171" s="3" t="n">
        <v>687</v>
      </c>
      <c r="H171" s="3" t="n">
        <v>88</v>
      </c>
      <c r="I171" s="4" t="n">
        <v>32.26</v>
      </c>
    </row>
    <row r="172" customFormat="false" ht="15" hidden="false" customHeight="false" outlineLevel="0" collapsed="false">
      <c r="A172" s="2" t="s">
        <v>489</v>
      </c>
      <c r="B172" s="2" t="s">
        <v>490</v>
      </c>
      <c r="C172" s="8" t="n">
        <v>45613</v>
      </c>
      <c r="D172" s="3" t="n">
        <v>17533</v>
      </c>
      <c r="E172" s="3" t="n">
        <v>1534</v>
      </c>
      <c r="F172" s="2" t="s">
        <v>491</v>
      </c>
      <c r="G172" s="3" t="n">
        <v>660</v>
      </c>
      <c r="H172" s="3" t="n">
        <v>69</v>
      </c>
      <c r="I172" s="4" t="n">
        <v>43.1</v>
      </c>
    </row>
    <row r="173" customFormat="false" ht="15" hidden="false" customHeight="false" outlineLevel="0" collapsed="false">
      <c r="A173" s="2" t="s">
        <v>492</v>
      </c>
      <c r="B173" s="2" t="s">
        <v>493</v>
      </c>
      <c r="C173" s="8" t="n">
        <v>45563</v>
      </c>
      <c r="D173" s="3" t="n">
        <v>17434</v>
      </c>
      <c r="E173" s="3" t="n">
        <v>1046</v>
      </c>
      <c r="F173" s="2" t="s">
        <v>243</v>
      </c>
      <c r="G173" s="3" t="n">
        <v>894</v>
      </c>
      <c r="H173" s="3" t="n">
        <v>68</v>
      </c>
      <c r="I173" s="4" t="n">
        <v>49.5</v>
      </c>
    </row>
    <row r="174" customFormat="false" ht="15" hidden="false" customHeight="false" outlineLevel="0" collapsed="false">
      <c r="A174" s="2" t="s">
        <v>494</v>
      </c>
      <c r="B174" s="2" t="s">
        <v>495</v>
      </c>
      <c r="C174" s="8" t="n">
        <v>45539</v>
      </c>
      <c r="D174" s="3" t="n">
        <v>17425</v>
      </c>
      <c r="E174" s="3" t="n">
        <v>1945</v>
      </c>
      <c r="F174" s="2" t="s">
        <v>470</v>
      </c>
      <c r="G174" s="3" t="n">
        <v>865</v>
      </c>
      <c r="H174" s="3" t="n">
        <v>36</v>
      </c>
      <c r="I174" s="4" t="n">
        <v>41.47</v>
      </c>
    </row>
    <row r="175" customFormat="false" ht="15" hidden="false" customHeight="false" outlineLevel="0" collapsed="false">
      <c r="A175" s="2" t="s">
        <v>496</v>
      </c>
      <c r="B175" s="2" t="s">
        <v>497</v>
      </c>
      <c r="C175" s="8" t="n">
        <v>45379</v>
      </c>
      <c r="D175" s="3" t="n">
        <v>17401</v>
      </c>
      <c r="E175" s="3" t="n">
        <v>1103</v>
      </c>
      <c r="F175" s="2" t="s">
        <v>446</v>
      </c>
      <c r="G175" s="3" t="n">
        <v>757</v>
      </c>
      <c r="H175" s="3" t="n">
        <v>100</v>
      </c>
      <c r="I175" s="4" t="n">
        <v>38.22</v>
      </c>
    </row>
    <row r="176" customFormat="false" ht="15" hidden="false" customHeight="false" outlineLevel="0" collapsed="false">
      <c r="A176" s="2" t="s">
        <v>498</v>
      </c>
      <c r="B176" s="2" t="s">
        <v>499</v>
      </c>
      <c r="C176" s="8" t="n">
        <v>45386</v>
      </c>
      <c r="D176" s="3" t="n">
        <v>17383</v>
      </c>
      <c r="E176" s="3" t="n">
        <v>1179</v>
      </c>
      <c r="F176" s="2" t="s">
        <v>260</v>
      </c>
      <c r="G176" s="3" t="n">
        <v>851</v>
      </c>
      <c r="H176" s="3" t="n">
        <v>56</v>
      </c>
      <c r="I176" s="4" t="n">
        <v>27.64</v>
      </c>
    </row>
    <row r="177" customFormat="false" ht="15" hidden="false" customHeight="false" outlineLevel="0" collapsed="false">
      <c r="A177" s="2" t="s">
        <v>500</v>
      </c>
      <c r="B177" s="2" t="s">
        <v>501</v>
      </c>
      <c r="C177" s="8" t="n">
        <v>45351</v>
      </c>
      <c r="D177" s="3" t="n">
        <v>17372</v>
      </c>
      <c r="E177" s="3" t="n">
        <v>1767</v>
      </c>
      <c r="F177" s="2" t="s">
        <v>148</v>
      </c>
      <c r="G177" s="3" t="n">
        <v>604</v>
      </c>
      <c r="H177" s="3" t="n">
        <v>52</v>
      </c>
      <c r="I177" s="4" t="n">
        <v>28.34</v>
      </c>
    </row>
    <row r="178" customFormat="false" ht="15" hidden="false" customHeight="false" outlineLevel="0" collapsed="false">
      <c r="A178" s="2" t="s">
        <v>502</v>
      </c>
      <c r="B178" s="2" t="s">
        <v>503</v>
      </c>
      <c r="C178" s="8" t="n">
        <v>45540</v>
      </c>
      <c r="D178" s="3" t="n">
        <v>17286</v>
      </c>
      <c r="E178" s="3" t="n">
        <v>1068</v>
      </c>
      <c r="F178" s="2" t="s">
        <v>78</v>
      </c>
      <c r="G178" s="3" t="n">
        <v>867</v>
      </c>
      <c r="H178" s="3" t="n">
        <v>103</v>
      </c>
      <c r="I178" s="4" t="n">
        <v>38.95</v>
      </c>
    </row>
    <row r="179" customFormat="false" ht="15" hidden="false" customHeight="false" outlineLevel="0" collapsed="false">
      <c r="A179" s="2" t="s">
        <v>504</v>
      </c>
      <c r="B179" s="2" t="s">
        <v>505</v>
      </c>
      <c r="C179" s="8" t="n">
        <v>45371</v>
      </c>
      <c r="D179" s="3" t="n">
        <v>17166</v>
      </c>
      <c r="E179" s="3" t="n">
        <v>1884</v>
      </c>
      <c r="F179" s="2" t="s">
        <v>209</v>
      </c>
      <c r="G179" s="3" t="n">
        <v>654</v>
      </c>
      <c r="H179" s="3" t="n">
        <v>83</v>
      </c>
      <c r="I179" s="4" t="n">
        <v>35.95</v>
      </c>
    </row>
    <row r="180" customFormat="false" ht="15" hidden="false" customHeight="false" outlineLevel="0" collapsed="false">
      <c r="A180" s="2" t="s">
        <v>506</v>
      </c>
      <c r="B180" s="2" t="s">
        <v>507</v>
      </c>
      <c r="C180" s="8" t="n">
        <v>45430</v>
      </c>
      <c r="D180" s="3" t="n">
        <v>17036</v>
      </c>
      <c r="E180" s="3" t="n">
        <v>1692</v>
      </c>
      <c r="F180" s="2" t="s">
        <v>174</v>
      </c>
      <c r="G180" s="3" t="n">
        <v>650</v>
      </c>
      <c r="H180" s="3" t="n">
        <v>37</v>
      </c>
      <c r="I180" s="4" t="n">
        <v>31.89</v>
      </c>
    </row>
    <row r="181" customFormat="false" ht="15" hidden="false" customHeight="false" outlineLevel="0" collapsed="false">
      <c r="A181" s="2" t="s">
        <v>508</v>
      </c>
      <c r="B181" s="2" t="s">
        <v>509</v>
      </c>
      <c r="C181" s="8" t="n">
        <v>45309</v>
      </c>
      <c r="D181" s="3" t="n">
        <v>17004</v>
      </c>
      <c r="E181" s="3" t="n">
        <v>1022</v>
      </c>
      <c r="F181" s="2" t="s">
        <v>243</v>
      </c>
      <c r="G181" s="3" t="n">
        <v>592</v>
      </c>
      <c r="H181" s="3" t="n">
        <v>38</v>
      </c>
      <c r="I181" s="4" t="n">
        <v>37.95</v>
      </c>
    </row>
    <row r="182" customFormat="false" ht="15" hidden="false" customHeight="false" outlineLevel="0" collapsed="false">
      <c r="A182" s="2" t="s">
        <v>510</v>
      </c>
      <c r="B182" s="2" t="s">
        <v>511</v>
      </c>
      <c r="C182" s="8" t="n">
        <v>45333</v>
      </c>
      <c r="D182" s="3" t="n">
        <v>16959</v>
      </c>
      <c r="E182" s="3" t="n">
        <v>1650</v>
      </c>
      <c r="F182" s="2" t="s">
        <v>282</v>
      </c>
      <c r="G182" s="3" t="n">
        <v>677</v>
      </c>
      <c r="H182" s="3" t="n">
        <v>35</v>
      </c>
      <c r="I182" s="4" t="n">
        <v>38.13</v>
      </c>
    </row>
    <row r="183" customFormat="false" ht="15" hidden="false" customHeight="false" outlineLevel="0" collapsed="false">
      <c r="A183" s="2" t="s">
        <v>512</v>
      </c>
      <c r="B183" s="2" t="s">
        <v>513</v>
      </c>
      <c r="C183" s="8" t="n">
        <v>45652</v>
      </c>
      <c r="D183" s="3" t="n">
        <v>16822</v>
      </c>
      <c r="E183" s="3" t="n">
        <v>1576</v>
      </c>
      <c r="F183" s="2" t="s">
        <v>99</v>
      </c>
      <c r="G183" s="3" t="n">
        <v>671</v>
      </c>
      <c r="H183" s="3" t="n">
        <v>73</v>
      </c>
      <c r="I183" s="4" t="n">
        <v>42.83</v>
      </c>
    </row>
    <row r="184" customFormat="false" ht="15" hidden="false" customHeight="false" outlineLevel="0" collapsed="false">
      <c r="A184" s="2" t="s">
        <v>514</v>
      </c>
      <c r="B184" s="2" t="s">
        <v>515</v>
      </c>
      <c r="C184" s="8" t="n">
        <v>45489</v>
      </c>
      <c r="D184" s="3" t="n">
        <v>16795</v>
      </c>
      <c r="E184" s="3" t="n">
        <v>1700</v>
      </c>
      <c r="F184" s="2" t="s">
        <v>105</v>
      </c>
      <c r="G184" s="3" t="n">
        <v>732</v>
      </c>
      <c r="H184" s="3" t="n">
        <v>38</v>
      </c>
      <c r="I184" s="4" t="n">
        <v>37.88</v>
      </c>
    </row>
    <row r="185" customFormat="false" ht="15" hidden="false" customHeight="false" outlineLevel="0" collapsed="false">
      <c r="A185" s="2" t="s">
        <v>516</v>
      </c>
      <c r="B185" s="2" t="s">
        <v>517</v>
      </c>
      <c r="C185" s="8" t="n">
        <v>45428</v>
      </c>
      <c r="D185" s="3" t="n">
        <v>16766</v>
      </c>
      <c r="E185" s="3" t="n">
        <v>1768</v>
      </c>
      <c r="F185" s="2" t="s">
        <v>346</v>
      </c>
      <c r="G185" s="3" t="n">
        <v>598</v>
      </c>
      <c r="H185" s="3" t="n">
        <v>96</v>
      </c>
      <c r="I185" s="4" t="n">
        <v>44.55</v>
      </c>
    </row>
    <row r="186" customFormat="false" ht="15" hidden="false" customHeight="false" outlineLevel="0" collapsed="false">
      <c r="A186" s="2" t="s">
        <v>518</v>
      </c>
      <c r="B186" s="2" t="s">
        <v>519</v>
      </c>
      <c r="C186" s="8" t="n">
        <v>45576</v>
      </c>
      <c r="D186" s="3" t="n">
        <v>16659</v>
      </c>
      <c r="E186" s="3" t="n">
        <v>1647</v>
      </c>
      <c r="F186" s="2" t="s">
        <v>520</v>
      </c>
      <c r="G186" s="3" t="n">
        <v>596</v>
      </c>
      <c r="H186" s="3" t="n">
        <v>95</v>
      </c>
      <c r="I186" s="4" t="n">
        <v>36.86</v>
      </c>
    </row>
    <row r="187" customFormat="false" ht="15" hidden="false" customHeight="false" outlineLevel="0" collapsed="false">
      <c r="A187" s="2" t="s">
        <v>521</v>
      </c>
      <c r="B187" s="2" t="s">
        <v>522</v>
      </c>
      <c r="C187" s="8" t="n">
        <v>45382</v>
      </c>
      <c r="D187" s="3" t="n">
        <v>16594</v>
      </c>
      <c r="E187" s="3" t="n">
        <v>1510</v>
      </c>
      <c r="F187" s="2" t="s">
        <v>49</v>
      </c>
      <c r="G187" s="3" t="n">
        <v>767</v>
      </c>
      <c r="H187" s="3" t="n">
        <v>69</v>
      </c>
      <c r="I187" s="4" t="n">
        <v>36.04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7" t="s">
        <v>523</v>
      </c>
      <c r="B1" s="7" t="s">
        <v>524</v>
      </c>
      <c r="C1" s="7" t="s">
        <v>13</v>
      </c>
    </row>
    <row r="2" customFormat="false" ht="15" hidden="false" customHeight="false" outlineLevel="0" collapsed="false">
      <c r="A2" s="2" t="s">
        <v>525</v>
      </c>
      <c r="B2" s="2" t="n">
        <v>42</v>
      </c>
      <c r="C2" s="3" t="n">
        <v>5208000</v>
      </c>
    </row>
    <row r="3" customFormat="false" ht="15" hidden="false" customHeight="false" outlineLevel="0" collapsed="false">
      <c r="A3" s="2" t="s">
        <v>526</v>
      </c>
      <c r="B3" s="2" t="n">
        <v>27</v>
      </c>
      <c r="C3" s="3" t="n">
        <v>3348000</v>
      </c>
    </row>
    <row r="4" customFormat="false" ht="15" hidden="false" customHeight="false" outlineLevel="0" collapsed="false">
      <c r="A4" s="2" t="s">
        <v>527</v>
      </c>
      <c r="B4" s="2" t="n">
        <v>15</v>
      </c>
      <c r="C4" s="3" t="n">
        <v>1860000</v>
      </c>
    </row>
    <row r="5" customFormat="false" ht="15" hidden="false" customHeight="false" outlineLevel="0" collapsed="false">
      <c r="A5" s="2" t="s">
        <v>528</v>
      </c>
      <c r="B5" s="2" t="n">
        <v>7</v>
      </c>
      <c r="C5" s="3" t="n">
        <v>868000</v>
      </c>
    </row>
    <row r="6" customFormat="false" ht="15" hidden="false" customHeight="false" outlineLevel="0" collapsed="false">
      <c r="A6" s="2" t="s">
        <v>529</v>
      </c>
      <c r="B6" s="2" t="n">
        <v>5</v>
      </c>
      <c r="C6" s="3" t="n">
        <v>620000</v>
      </c>
    </row>
    <row r="7" customFormat="false" ht="15" hidden="false" customHeight="false" outlineLevel="0" collapsed="false">
      <c r="A7" s="2" t="s">
        <v>530</v>
      </c>
      <c r="B7" s="2" t="n">
        <v>4</v>
      </c>
      <c r="C7" s="3" t="n">
        <v>496000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7" t="s">
        <v>531</v>
      </c>
      <c r="B1" s="7" t="s">
        <v>532</v>
      </c>
      <c r="C1" s="7" t="s">
        <v>524</v>
      </c>
    </row>
    <row r="2" customFormat="false" ht="15" hidden="false" customHeight="false" outlineLevel="0" collapsed="false">
      <c r="A2" s="2" t="s">
        <v>533</v>
      </c>
      <c r="B2" s="2" t="s">
        <v>534</v>
      </c>
      <c r="C2" s="2" t="n">
        <v>1.86</v>
      </c>
    </row>
    <row r="3" customFormat="false" ht="15" hidden="false" customHeight="false" outlineLevel="0" collapsed="false">
      <c r="A3" s="2" t="s">
        <v>533</v>
      </c>
      <c r="B3" s="2" t="s">
        <v>535</v>
      </c>
      <c r="C3" s="2" t="n">
        <v>16.12</v>
      </c>
    </row>
    <row r="4" customFormat="false" ht="15" hidden="false" customHeight="false" outlineLevel="0" collapsed="false">
      <c r="A4" s="2" t="s">
        <v>533</v>
      </c>
      <c r="B4" s="2" t="s">
        <v>536</v>
      </c>
      <c r="C4" s="2" t="n">
        <v>24.8</v>
      </c>
    </row>
    <row r="5" customFormat="false" ht="15" hidden="false" customHeight="false" outlineLevel="0" collapsed="false">
      <c r="A5" s="2" t="s">
        <v>533</v>
      </c>
      <c r="B5" s="2" t="s">
        <v>537</v>
      </c>
      <c r="C5" s="2" t="n">
        <v>11.16</v>
      </c>
    </row>
    <row r="6" customFormat="false" ht="15" hidden="false" customHeight="false" outlineLevel="0" collapsed="false">
      <c r="A6" s="2" t="s">
        <v>533</v>
      </c>
      <c r="B6" s="2" t="s">
        <v>538</v>
      </c>
      <c r="C6" s="2" t="n">
        <v>4.96</v>
      </c>
    </row>
    <row r="7" customFormat="false" ht="15" hidden="false" customHeight="false" outlineLevel="0" collapsed="false">
      <c r="A7" s="2" t="s">
        <v>533</v>
      </c>
      <c r="B7" s="2" t="s">
        <v>539</v>
      </c>
      <c r="C7" s="2" t="n">
        <v>3.1</v>
      </c>
    </row>
    <row r="8" customFormat="false" ht="15" hidden="false" customHeight="false" outlineLevel="0" collapsed="false">
      <c r="A8" s="2" t="s">
        <v>540</v>
      </c>
      <c r="B8" s="2" t="s">
        <v>534</v>
      </c>
      <c r="C8" s="2" t="n">
        <v>1.08</v>
      </c>
    </row>
    <row r="9" customFormat="false" ht="15" hidden="false" customHeight="false" outlineLevel="0" collapsed="false">
      <c r="A9" s="2" t="s">
        <v>540</v>
      </c>
      <c r="B9" s="2" t="s">
        <v>535</v>
      </c>
      <c r="C9" s="2" t="n">
        <v>10.8</v>
      </c>
    </row>
    <row r="10" customFormat="false" ht="15" hidden="false" customHeight="false" outlineLevel="0" collapsed="false">
      <c r="A10" s="2" t="s">
        <v>540</v>
      </c>
      <c r="B10" s="2" t="s">
        <v>536</v>
      </c>
      <c r="C10" s="2" t="n">
        <v>13.68</v>
      </c>
    </row>
    <row r="11" customFormat="false" ht="15" hidden="false" customHeight="false" outlineLevel="0" collapsed="false">
      <c r="A11" s="2" t="s">
        <v>540</v>
      </c>
      <c r="B11" s="2" t="s">
        <v>537</v>
      </c>
      <c r="C11" s="2" t="n">
        <v>5.76</v>
      </c>
    </row>
    <row r="12" customFormat="false" ht="15" hidden="false" customHeight="false" outlineLevel="0" collapsed="false">
      <c r="A12" s="2" t="s">
        <v>540</v>
      </c>
      <c r="B12" s="2" t="s">
        <v>538</v>
      </c>
      <c r="C12" s="2" t="n">
        <v>2.88</v>
      </c>
    </row>
    <row r="13" customFormat="false" ht="15" hidden="false" customHeight="false" outlineLevel="0" collapsed="false">
      <c r="A13" s="2" t="s">
        <v>540</v>
      </c>
      <c r="B13" s="2" t="s">
        <v>539</v>
      </c>
      <c r="C13" s="2" t="n">
        <v>1.8</v>
      </c>
    </row>
    <row r="14" customFormat="false" ht="15" hidden="false" customHeight="false" outlineLevel="0" collapsed="false">
      <c r="A14" s="2" t="s">
        <v>541</v>
      </c>
      <c r="B14" s="2" t="s">
        <v>534</v>
      </c>
      <c r="C14" s="2" t="n">
        <v>0.08</v>
      </c>
    </row>
    <row r="15" customFormat="false" ht="15" hidden="false" customHeight="false" outlineLevel="0" collapsed="false">
      <c r="A15" s="2" t="s">
        <v>541</v>
      </c>
      <c r="B15" s="2" t="s">
        <v>535</v>
      </c>
      <c r="C15" s="2" t="n">
        <v>0.64</v>
      </c>
    </row>
    <row r="16" customFormat="false" ht="15" hidden="false" customHeight="false" outlineLevel="0" collapsed="false">
      <c r="A16" s="2" t="s">
        <v>541</v>
      </c>
      <c r="B16" s="2" t="s">
        <v>536</v>
      </c>
      <c r="C16" s="2" t="n">
        <v>0.72</v>
      </c>
    </row>
    <row r="17" customFormat="false" ht="15" hidden="false" customHeight="false" outlineLevel="0" collapsed="false">
      <c r="A17" s="2" t="s">
        <v>541</v>
      </c>
      <c r="B17" s="2" t="s">
        <v>537</v>
      </c>
      <c r="C17" s="2" t="n">
        <v>0.3</v>
      </c>
    </row>
    <row r="18" customFormat="false" ht="15" hidden="false" customHeight="false" outlineLevel="0" collapsed="false">
      <c r="A18" s="2" t="s">
        <v>541</v>
      </c>
      <c r="B18" s="2" t="s">
        <v>538</v>
      </c>
      <c r="C18" s="2" t="n">
        <v>0.16</v>
      </c>
    </row>
    <row r="19" customFormat="false" ht="15" hidden="false" customHeight="false" outlineLevel="0" collapsed="false">
      <c r="A19" s="2" t="s">
        <v>541</v>
      </c>
      <c r="B19" s="2" t="s">
        <v>539</v>
      </c>
      <c r="C19" s="2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7" t="s">
        <v>542</v>
      </c>
      <c r="B1" s="7" t="s">
        <v>524</v>
      </c>
      <c r="C1" s="7" t="s">
        <v>13</v>
      </c>
    </row>
    <row r="2" customFormat="false" ht="15" hidden="false" customHeight="false" outlineLevel="0" collapsed="false">
      <c r="A2" s="2" t="s">
        <v>543</v>
      </c>
      <c r="B2" s="2" t="n">
        <v>32</v>
      </c>
      <c r="C2" s="3" t="n">
        <v>3968000</v>
      </c>
    </row>
    <row r="3" customFormat="false" ht="15" hidden="false" customHeight="false" outlineLevel="0" collapsed="false">
      <c r="A3" s="2" t="s">
        <v>544</v>
      </c>
      <c r="B3" s="2" t="n">
        <v>18</v>
      </c>
      <c r="C3" s="3" t="n">
        <v>2232000</v>
      </c>
    </row>
    <row r="4" customFormat="false" ht="15" hidden="false" customHeight="false" outlineLevel="0" collapsed="false">
      <c r="A4" s="2" t="s">
        <v>545</v>
      </c>
      <c r="B4" s="2" t="n">
        <v>8</v>
      </c>
      <c r="C4" s="3" t="n">
        <v>992000</v>
      </c>
    </row>
    <row r="5" customFormat="false" ht="15" hidden="false" customHeight="false" outlineLevel="0" collapsed="false">
      <c r="A5" s="2" t="s">
        <v>546</v>
      </c>
      <c r="B5" s="2" t="n">
        <v>6</v>
      </c>
      <c r="C5" s="3" t="n">
        <v>744000</v>
      </c>
    </row>
    <row r="6" customFormat="false" ht="15" hidden="false" customHeight="false" outlineLevel="0" collapsed="false">
      <c r="A6" s="2" t="s">
        <v>547</v>
      </c>
      <c r="B6" s="2" t="n">
        <v>4</v>
      </c>
      <c r="C6" s="3" t="n">
        <v>496000</v>
      </c>
    </row>
    <row r="7" customFormat="false" ht="15" hidden="false" customHeight="false" outlineLevel="0" collapsed="false">
      <c r="A7" s="2" t="s">
        <v>548</v>
      </c>
      <c r="B7" s="2" t="n">
        <v>5</v>
      </c>
      <c r="C7" s="3" t="n">
        <v>620000</v>
      </c>
    </row>
    <row r="8" customFormat="false" ht="15" hidden="false" customHeight="false" outlineLevel="0" collapsed="false">
      <c r="A8" s="2" t="s">
        <v>530</v>
      </c>
      <c r="B8" s="2" t="n">
        <v>27</v>
      </c>
      <c r="C8" s="3" t="n">
        <v>3348000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7" t="s">
        <v>549</v>
      </c>
      <c r="B1" s="7" t="s">
        <v>524</v>
      </c>
      <c r="C1" s="7" t="s">
        <v>13</v>
      </c>
    </row>
    <row r="2" customFormat="false" ht="15" hidden="false" customHeight="false" outlineLevel="0" collapsed="false">
      <c r="A2" s="2" t="s">
        <v>550</v>
      </c>
      <c r="B2" s="2" t="n">
        <v>68</v>
      </c>
      <c r="C2" s="3" t="n">
        <v>8432000</v>
      </c>
    </row>
    <row r="3" customFormat="false" ht="15" hidden="false" customHeight="false" outlineLevel="0" collapsed="false">
      <c r="A3" s="2" t="s">
        <v>551</v>
      </c>
      <c r="B3" s="2" t="n">
        <v>24</v>
      </c>
      <c r="C3" s="3" t="n">
        <v>2976000</v>
      </c>
    </row>
    <row r="4" customFormat="false" ht="15" hidden="false" customHeight="false" outlineLevel="0" collapsed="false">
      <c r="A4" s="2" t="s">
        <v>552</v>
      </c>
      <c r="B4" s="2" t="n">
        <v>5</v>
      </c>
      <c r="C4" s="3" t="n">
        <v>620000</v>
      </c>
    </row>
    <row r="5" customFormat="false" ht="15" hidden="false" customHeight="false" outlineLevel="0" collapsed="false">
      <c r="A5" s="2" t="s">
        <v>553</v>
      </c>
      <c r="B5" s="2" t="n">
        <v>3</v>
      </c>
      <c r="C5" s="3" t="n">
        <v>372000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7" t="s">
        <v>554</v>
      </c>
      <c r="B1" s="7" t="s">
        <v>555</v>
      </c>
    </row>
    <row r="2" customFormat="false" ht="15" hidden="false" customHeight="false" outlineLevel="0" collapsed="false">
      <c r="A2" s="2" t="n">
        <v>0</v>
      </c>
      <c r="B2" s="2" t="n">
        <v>100</v>
      </c>
    </row>
    <row r="3" customFormat="false" ht="15" hidden="false" customHeight="false" outlineLevel="0" collapsed="false">
      <c r="A3" s="2" t="n">
        <v>5</v>
      </c>
      <c r="B3" s="2" t="n">
        <v>88</v>
      </c>
    </row>
    <row r="4" customFormat="false" ht="15" hidden="false" customHeight="false" outlineLevel="0" collapsed="false">
      <c r="A4" s="2" t="n">
        <v>10</v>
      </c>
      <c r="B4" s="2" t="n">
        <v>79.3</v>
      </c>
    </row>
    <row r="5" customFormat="false" ht="15" hidden="false" customHeight="false" outlineLevel="0" collapsed="false">
      <c r="A5" s="2" t="n">
        <v>15</v>
      </c>
      <c r="B5" s="2" t="n">
        <v>74.3</v>
      </c>
    </row>
    <row r="6" customFormat="false" ht="15" hidden="false" customHeight="false" outlineLevel="0" collapsed="false">
      <c r="A6" s="2" t="n">
        <v>20</v>
      </c>
      <c r="B6" s="2" t="n">
        <v>76.3</v>
      </c>
    </row>
    <row r="7" customFormat="false" ht="15" hidden="false" customHeight="false" outlineLevel="0" collapsed="false">
      <c r="A7" s="2" t="n">
        <v>25</v>
      </c>
      <c r="B7" s="2" t="n">
        <v>70.8</v>
      </c>
    </row>
    <row r="8" customFormat="false" ht="15" hidden="false" customHeight="false" outlineLevel="0" collapsed="false">
      <c r="A8" s="2" t="n">
        <v>30</v>
      </c>
      <c r="B8" s="2" t="n">
        <v>68.2</v>
      </c>
    </row>
    <row r="9" customFormat="false" ht="15" hidden="false" customHeight="false" outlineLevel="0" collapsed="false">
      <c r="A9" s="2" t="n">
        <v>35</v>
      </c>
      <c r="B9" s="2" t="n">
        <v>65.9</v>
      </c>
    </row>
    <row r="10" customFormat="false" ht="15" hidden="false" customHeight="false" outlineLevel="0" collapsed="false">
      <c r="A10" s="2" t="n">
        <v>40</v>
      </c>
      <c r="B10" s="2" t="n">
        <v>64.9</v>
      </c>
    </row>
    <row r="11" customFormat="false" ht="15" hidden="false" customHeight="false" outlineLevel="0" collapsed="false">
      <c r="A11" s="2" t="n">
        <v>45</v>
      </c>
      <c r="B11" s="2" t="n">
        <v>61.1</v>
      </c>
    </row>
    <row r="12" customFormat="false" ht="15" hidden="false" customHeight="false" outlineLevel="0" collapsed="false">
      <c r="A12" s="2" t="n">
        <v>50</v>
      </c>
      <c r="B12" s="2" t="n">
        <v>55.6</v>
      </c>
    </row>
    <row r="13" customFormat="false" ht="15" hidden="false" customHeight="false" outlineLevel="0" collapsed="false">
      <c r="A13" s="2" t="n">
        <v>55</v>
      </c>
      <c r="B13" s="2" t="n">
        <v>56.7</v>
      </c>
    </row>
    <row r="14" customFormat="false" ht="15" hidden="false" customHeight="false" outlineLevel="0" collapsed="false">
      <c r="A14" s="2" t="n">
        <v>60</v>
      </c>
      <c r="B14" s="2" t="n">
        <v>52</v>
      </c>
    </row>
    <row r="15" customFormat="false" ht="15" hidden="false" customHeight="false" outlineLevel="0" collapsed="false">
      <c r="A15" s="2" t="n">
        <v>65</v>
      </c>
      <c r="B15" s="2" t="n">
        <v>50</v>
      </c>
    </row>
    <row r="16" customFormat="false" ht="15" hidden="false" customHeight="false" outlineLevel="0" collapsed="false">
      <c r="A16" s="2" t="n">
        <v>70</v>
      </c>
      <c r="B16" s="2" t="n">
        <v>45.8</v>
      </c>
    </row>
    <row r="17" customFormat="false" ht="15" hidden="false" customHeight="false" outlineLevel="0" collapsed="false">
      <c r="A17" s="2" t="n">
        <v>75</v>
      </c>
      <c r="B17" s="2" t="n">
        <v>45.4</v>
      </c>
    </row>
    <row r="18" customFormat="false" ht="15" hidden="false" customHeight="false" outlineLevel="0" collapsed="false">
      <c r="A18" s="2" t="n">
        <v>80</v>
      </c>
      <c r="B18" s="2" t="n">
        <v>41.4</v>
      </c>
    </row>
    <row r="19" customFormat="false" ht="15" hidden="false" customHeight="false" outlineLevel="0" collapsed="false">
      <c r="A19" s="2" t="n">
        <v>85</v>
      </c>
      <c r="B19" s="2" t="n">
        <v>39.8</v>
      </c>
    </row>
    <row r="20" customFormat="false" ht="15" hidden="false" customHeight="false" outlineLevel="0" collapsed="false">
      <c r="A20" s="2" t="n">
        <v>90</v>
      </c>
      <c r="B20" s="2" t="n">
        <v>36.8</v>
      </c>
    </row>
    <row r="21" customFormat="false" ht="15" hidden="false" customHeight="false" outlineLevel="0" collapsed="false">
      <c r="A21" s="2" t="n">
        <v>95</v>
      </c>
      <c r="B21" s="2" t="n">
        <v>36.9</v>
      </c>
    </row>
    <row r="22" customFormat="false" ht="15" hidden="false" customHeight="false" outlineLevel="0" collapsed="false">
      <c r="A22" s="2" t="n">
        <v>100</v>
      </c>
      <c r="B22" s="2" t="n">
        <v>34.4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7" t="s">
        <v>556</v>
      </c>
      <c r="B1" s="7" t="s">
        <v>13</v>
      </c>
    </row>
    <row r="2" customFormat="false" ht="15" hidden="false" customHeight="false" outlineLevel="0" collapsed="false">
      <c r="A2" s="9" t="n">
        <v>45655</v>
      </c>
      <c r="B2" s="3" t="n">
        <v>805</v>
      </c>
    </row>
    <row r="3" customFormat="false" ht="15" hidden="false" customHeight="false" outlineLevel="0" collapsed="false">
      <c r="A3" s="9" t="n">
        <v>45655.0416666667</v>
      </c>
      <c r="B3" s="3" t="n">
        <v>831</v>
      </c>
    </row>
    <row r="4" customFormat="false" ht="15" hidden="false" customHeight="false" outlineLevel="0" collapsed="false">
      <c r="A4" s="9" t="n">
        <v>45655.0833333333</v>
      </c>
      <c r="B4" s="3" t="n">
        <v>848</v>
      </c>
    </row>
    <row r="5" customFormat="false" ht="15" hidden="false" customHeight="false" outlineLevel="0" collapsed="false">
      <c r="A5" s="9" t="n">
        <v>45655.125</v>
      </c>
      <c r="B5" s="3" t="n">
        <v>1137</v>
      </c>
    </row>
    <row r="6" customFormat="false" ht="15" hidden="false" customHeight="false" outlineLevel="0" collapsed="false">
      <c r="A6" s="9" t="n">
        <v>45655.1666666667</v>
      </c>
      <c r="B6" s="3" t="n">
        <v>1110</v>
      </c>
    </row>
    <row r="7" customFormat="false" ht="15" hidden="false" customHeight="false" outlineLevel="0" collapsed="false">
      <c r="A7" s="9" t="n">
        <v>45655.2083333333</v>
      </c>
      <c r="B7" s="3" t="n">
        <v>1268</v>
      </c>
    </row>
    <row r="8" customFormat="false" ht="15" hidden="false" customHeight="false" outlineLevel="0" collapsed="false">
      <c r="A8" s="9" t="n">
        <v>45655.25</v>
      </c>
      <c r="B8" s="3" t="n">
        <v>1617</v>
      </c>
    </row>
    <row r="9" customFormat="false" ht="15" hidden="false" customHeight="false" outlineLevel="0" collapsed="false">
      <c r="A9" s="9" t="n">
        <v>45655.2916666667</v>
      </c>
      <c r="B9" s="3" t="n">
        <v>1616</v>
      </c>
    </row>
    <row r="10" customFormat="false" ht="15" hidden="false" customHeight="false" outlineLevel="0" collapsed="false">
      <c r="A10" s="9" t="n">
        <v>45655.3333333333</v>
      </c>
      <c r="B10" s="3" t="n">
        <v>1845</v>
      </c>
    </row>
    <row r="11" customFormat="false" ht="15" hidden="false" customHeight="false" outlineLevel="0" collapsed="false">
      <c r="A11" s="9" t="n">
        <v>45655.375</v>
      </c>
      <c r="B11" s="3" t="n">
        <v>1805</v>
      </c>
    </row>
    <row r="12" customFormat="false" ht="15" hidden="false" customHeight="false" outlineLevel="0" collapsed="false">
      <c r="A12" s="9" t="n">
        <v>45655.4166666667</v>
      </c>
      <c r="B12" s="3" t="n">
        <v>2190</v>
      </c>
    </row>
    <row r="13" customFormat="false" ht="15" hidden="false" customHeight="false" outlineLevel="0" collapsed="false">
      <c r="A13" s="9" t="n">
        <v>45655.4583333333</v>
      </c>
      <c r="B13" s="3" t="n">
        <v>2409</v>
      </c>
    </row>
    <row r="14" customFormat="false" ht="15" hidden="false" customHeight="false" outlineLevel="0" collapsed="false">
      <c r="A14" s="9" t="n">
        <v>45655.5</v>
      </c>
      <c r="B14" s="3" t="n">
        <v>2286</v>
      </c>
    </row>
    <row r="15" customFormat="false" ht="15" hidden="false" customHeight="false" outlineLevel="0" collapsed="false">
      <c r="A15" s="9" t="n">
        <v>45655.5416666667</v>
      </c>
      <c r="B15" s="3" t="n">
        <v>2351</v>
      </c>
    </row>
    <row r="16" customFormat="false" ht="15" hidden="false" customHeight="false" outlineLevel="0" collapsed="false">
      <c r="A16" s="9" t="n">
        <v>45655.5833333333</v>
      </c>
      <c r="B16" s="3" t="n">
        <v>2004</v>
      </c>
    </row>
    <row r="17" customFormat="false" ht="15" hidden="false" customHeight="false" outlineLevel="0" collapsed="false">
      <c r="A17" s="9" t="n">
        <v>45655.625</v>
      </c>
      <c r="B17" s="3" t="n">
        <v>2023</v>
      </c>
    </row>
    <row r="18" customFormat="false" ht="15" hidden="false" customHeight="false" outlineLevel="0" collapsed="false">
      <c r="A18" s="9" t="n">
        <v>45655.6666666667</v>
      </c>
      <c r="B18" s="3" t="n">
        <v>1736</v>
      </c>
    </row>
    <row r="19" customFormat="false" ht="15" hidden="false" customHeight="false" outlineLevel="0" collapsed="false">
      <c r="A19" s="9" t="n">
        <v>45655.7083333333</v>
      </c>
      <c r="B19" s="3" t="n">
        <v>1653</v>
      </c>
    </row>
    <row r="20" customFormat="false" ht="15" hidden="false" customHeight="false" outlineLevel="0" collapsed="false">
      <c r="A20" s="9" t="n">
        <v>45655.75</v>
      </c>
      <c r="B20" s="3" t="n">
        <v>1592</v>
      </c>
    </row>
    <row r="21" customFormat="false" ht="15" hidden="false" customHeight="false" outlineLevel="0" collapsed="false">
      <c r="A21" s="9" t="n">
        <v>45655.7916666667</v>
      </c>
      <c r="B21" s="3" t="n">
        <v>1331</v>
      </c>
    </row>
    <row r="22" customFormat="false" ht="15" hidden="false" customHeight="false" outlineLevel="0" collapsed="false">
      <c r="A22" s="9" t="n">
        <v>45655.8333333333</v>
      </c>
      <c r="B22" s="3" t="n">
        <v>980</v>
      </c>
    </row>
    <row r="23" customFormat="false" ht="15" hidden="false" customHeight="false" outlineLevel="0" collapsed="false">
      <c r="A23" s="9" t="n">
        <v>45655.875</v>
      </c>
      <c r="B23" s="3" t="n">
        <v>847</v>
      </c>
    </row>
    <row r="24" customFormat="false" ht="15" hidden="false" customHeight="false" outlineLevel="0" collapsed="false">
      <c r="A24" s="9" t="n">
        <v>45655.9166666667</v>
      </c>
      <c r="B24" s="3" t="n">
        <v>728</v>
      </c>
    </row>
    <row r="25" customFormat="false" ht="15" hidden="false" customHeight="false" outlineLevel="0" collapsed="false">
      <c r="A25" s="9" t="n">
        <v>45655.9583333333</v>
      </c>
      <c r="B25" s="3" t="n">
        <v>882</v>
      </c>
    </row>
    <row r="26" customFormat="false" ht="15" hidden="false" customHeight="false" outlineLevel="0" collapsed="false">
      <c r="A26" s="9" t="n">
        <v>45656</v>
      </c>
      <c r="B26" s="3" t="n">
        <v>1047</v>
      </c>
    </row>
    <row r="27" customFormat="false" ht="15" hidden="false" customHeight="false" outlineLevel="0" collapsed="false">
      <c r="A27" s="9" t="n">
        <v>45656.0416666667</v>
      </c>
      <c r="B27" s="3" t="n">
        <v>987</v>
      </c>
    </row>
    <row r="28" customFormat="false" ht="15" hidden="false" customHeight="false" outlineLevel="0" collapsed="false">
      <c r="A28" s="9" t="n">
        <v>45656.0833333333</v>
      </c>
      <c r="B28" s="3" t="n">
        <v>666</v>
      </c>
    </row>
    <row r="29" customFormat="false" ht="15" hidden="false" customHeight="false" outlineLevel="0" collapsed="false">
      <c r="A29" s="9" t="n">
        <v>45656.125</v>
      </c>
      <c r="B29" s="3" t="n">
        <v>1175</v>
      </c>
    </row>
    <row r="30" customFormat="false" ht="15" hidden="false" customHeight="false" outlineLevel="0" collapsed="false">
      <c r="A30" s="9" t="n">
        <v>45656.1666666667</v>
      </c>
      <c r="B30" s="3" t="n">
        <v>1262</v>
      </c>
    </row>
    <row r="31" customFormat="false" ht="15" hidden="false" customHeight="false" outlineLevel="0" collapsed="false">
      <c r="A31" s="9" t="n">
        <v>45656.2083333333</v>
      </c>
      <c r="B31" s="3" t="n">
        <v>1133</v>
      </c>
    </row>
    <row r="32" customFormat="false" ht="15" hidden="false" customHeight="false" outlineLevel="0" collapsed="false">
      <c r="A32" s="9" t="n">
        <v>45656.25</v>
      </c>
      <c r="B32" s="3" t="n">
        <v>1463</v>
      </c>
    </row>
    <row r="33" customFormat="false" ht="15" hidden="false" customHeight="false" outlineLevel="0" collapsed="false">
      <c r="A33" s="9" t="n">
        <v>45656.2916666667</v>
      </c>
      <c r="B33" s="3" t="n">
        <v>1812</v>
      </c>
    </row>
    <row r="34" customFormat="false" ht="15" hidden="false" customHeight="false" outlineLevel="0" collapsed="false">
      <c r="A34" s="9" t="n">
        <v>45656.3333333333</v>
      </c>
      <c r="B34" s="3" t="n">
        <v>1916</v>
      </c>
    </row>
    <row r="35" customFormat="false" ht="15" hidden="false" customHeight="false" outlineLevel="0" collapsed="false">
      <c r="A35" s="9" t="n">
        <v>45656.375</v>
      </c>
      <c r="B35" s="3" t="n">
        <v>1837</v>
      </c>
    </row>
    <row r="36" customFormat="false" ht="15" hidden="false" customHeight="false" outlineLevel="0" collapsed="false">
      <c r="A36" s="9" t="n">
        <v>45656.4166666667</v>
      </c>
      <c r="B36" s="3" t="n">
        <v>2179</v>
      </c>
    </row>
    <row r="37" customFormat="false" ht="15" hidden="false" customHeight="false" outlineLevel="0" collapsed="false">
      <c r="A37" s="9" t="n">
        <v>45656.4583333333</v>
      </c>
      <c r="B37" s="3" t="n">
        <v>1919</v>
      </c>
    </row>
    <row r="38" customFormat="false" ht="15" hidden="false" customHeight="false" outlineLevel="0" collapsed="false">
      <c r="A38" s="9" t="n">
        <v>45656.5</v>
      </c>
      <c r="B38" s="3" t="n">
        <v>2173</v>
      </c>
    </row>
    <row r="39" customFormat="false" ht="15" hidden="false" customHeight="false" outlineLevel="0" collapsed="false">
      <c r="A39" s="9" t="n">
        <v>45656.5416666667</v>
      </c>
      <c r="B39" s="3" t="n">
        <v>2312</v>
      </c>
    </row>
    <row r="40" customFormat="false" ht="15" hidden="false" customHeight="false" outlineLevel="0" collapsed="false">
      <c r="A40" s="9" t="n">
        <v>45656.5833333333</v>
      </c>
      <c r="B40" s="3" t="n">
        <v>2108</v>
      </c>
    </row>
    <row r="41" customFormat="false" ht="15" hidden="false" customHeight="false" outlineLevel="0" collapsed="false">
      <c r="A41" s="9" t="n">
        <v>45656.625</v>
      </c>
      <c r="B41" s="3" t="n">
        <v>1935</v>
      </c>
    </row>
    <row r="42" customFormat="false" ht="15" hidden="false" customHeight="false" outlineLevel="0" collapsed="false">
      <c r="A42" s="9" t="n">
        <v>45656.6666666667</v>
      </c>
      <c r="B42" s="3" t="n">
        <v>1956</v>
      </c>
    </row>
    <row r="43" customFormat="false" ht="15" hidden="false" customHeight="false" outlineLevel="0" collapsed="false">
      <c r="A43" s="9" t="n">
        <v>45656.7083333333</v>
      </c>
      <c r="B43" s="3" t="n">
        <v>1798</v>
      </c>
    </row>
    <row r="44" customFormat="false" ht="15" hidden="false" customHeight="false" outlineLevel="0" collapsed="false">
      <c r="A44" s="9" t="n">
        <v>45656.75</v>
      </c>
      <c r="B44" s="3" t="n">
        <v>1657</v>
      </c>
    </row>
    <row r="45" customFormat="false" ht="15" hidden="false" customHeight="false" outlineLevel="0" collapsed="false">
      <c r="A45" s="9" t="n">
        <v>45656.7916666667</v>
      </c>
      <c r="B45" s="3" t="n">
        <v>1423</v>
      </c>
    </row>
    <row r="46" customFormat="false" ht="15" hidden="false" customHeight="false" outlineLevel="0" collapsed="false">
      <c r="A46" s="9" t="n">
        <v>45656.8333333333</v>
      </c>
      <c r="B46" s="3" t="n">
        <v>1279</v>
      </c>
    </row>
    <row r="47" customFormat="false" ht="15" hidden="false" customHeight="false" outlineLevel="0" collapsed="false">
      <c r="A47" s="9" t="n">
        <v>45656.875</v>
      </c>
      <c r="B47" s="3" t="n">
        <v>1092</v>
      </c>
    </row>
    <row r="48" customFormat="false" ht="15" hidden="false" customHeight="false" outlineLevel="0" collapsed="false">
      <c r="A48" s="9" t="n">
        <v>45656.9166666667</v>
      </c>
      <c r="B48" s="3" t="n">
        <v>925</v>
      </c>
    </row>
    <row r="49" customFormat="false" ht="15" hidden="false" customHeight="false" outlineLevel="0" collapsed="false">
      <c r="A49" s="9" t="n">
        <v>45656.9583333333</v>
      </c>
      <c r="B49" s="3" t="n">
        <v>834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2026-09-28T06:00:16Z</dcterms:created>
  <dc:creator/>
  <dc:description/>
  <dc:language>en-US</dc:language>
  <cp:lastModifiedBy/>
  <dcterms:modified xsi:type="dcterms:W3CDTF">2026-09-28T06:00:16Z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